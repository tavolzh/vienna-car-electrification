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ktroHybrid Project\"/>
    </mc:Choice>
  </mc:AlternateContent>
  <xr:revisionPtr revIDLastSave="0" documentId="13_ncr:1_{645F0C23-DCF9-4BBE-A337-8CA21670BACC}" xr6:coauthVersionLast="47" xr6:coauthVersionMax="47" xr10:uidLastSave="{00000000-0000-0000-0000-000000000000}"/>
  <bookViews>
    <workbookView xWindow="-108" yWindow="-108" windowWidth="23256" windowHeight="12576" activeTab="2" xr2:uid="{285ECCC1-BDB8-4764-9BDA-EB12ED956C36}"/>
  </bookViews>
  <sheets>
    <sheet name="Raw_Data" sheetId="3" r:id="rId1"/>
    <sheet name="Cleaned_Data" sheetId="4" r:id="rId2"/>
    <sheet name="Analysis" sheetId="6" r:id="rId3"/>
  </sheets>
  <definedNames>
    <definedName name="ExternalData_2" localSheetId="0" hidden="1">Raw_Data!$A$1:$J$181</definedName>
    <definedName name="ExternalData_3" localSheetId="1" hidden="1">Cleaned_Data!$A$1:$F$181</definedName>
  </definedNames>
  <calcPr calcId="191029"/>
  <pivotCaches>
    <pivotCache cacheId="1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6" l="1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9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2BDA8-71FB-4A41-9014-C20EC84AA042}" keepAlive="1" name="Query - pkwelektrohybrid2023" description="Connection to the 'pkwelektrohybrid2023' query in the workbook." type="5" refreshedVersion="8" background="1" saveData="1">
    <dbPr connection="Provider=Microsoft.Mashup.OleDb.1;Data Source=$Workbook$;Location=pkwelektrohybrid2023;Extended Properties=&quot;&quot;" command="SELECT * FROM [pkwelektrohybrid2023]"/>
  </connection>
  <connection id="2" xr16:uid="{24426CA7-6326-4200-84C7-548818A5BFB0}" keepAlive="1" name="Query - pkwelektrohybrid2023 (2)" description="Connection to the 'pkwelektrohybrid2023 (2)' query in the workbook." type="5" refreshedVersion="8" background="1" saveData="1">
    <dbPr connection="Provider=Microsoft.Mashup.OleDb.1;Data Source=$Workbook$;Location=&quot;pkwelektrohybrid2023 (2)&quot;;Extended Properties=&quot;&quot;" command="SELECT * FROM [pkwelektrohybrid2023 (2)]"/>
  </connection>
  <connection id="3" xr16:uid="{8E148DDF-2710-49F2-93A3-873CFE7BF6FF}" keepAlive="1" name="Query - pkwelektrohybrid2023 (3)" description="Connection to the 'pkwelektrohybrid2023 (3)' query in the workbook." type="5" refreshedVersion="8" background="1" saveData="1">
    <dbPr connection="Provider=Microsoft.Mashup.OleDb.1;Data Source=$Workbook$;Location=&quot;pkwelektrohybrid2023 (3)&quot;;Extended Properties=&quot;&quot;" command="SELECT * FROM [pkwelektrohybrid2023 (3)]"/>
  </connection>
  <connection id="4" xr16:uid="{1318B22F-9151-43C1-89C2-BD99C0F577D0}" keepAlive="1" name="Query - pkwelektrohybrid2023 (4)" description="Connection to the 'pkwelektrohybrid2023 (4)' query in the workbook." type="5" refreshedVersion="8" background="1" saveData="1">
    <dbPr connection="Provider=Microsoft.Mashup.OleDb.1;Data Source=$Workbook$;Location=&quot;pkwelektrohybrid2023 (4)&quot;;Extended Properties=&quot;&quot;" command="SELECT * FROM [pkwelektrohybrid2023 (4)]"/>
  </connection>
  <connection id="5" xr16:uid="{3E79C195-5D5F-4841-B0BB-2D8CDB082E70}" keepAlive="1" name="Query - pkwelektrohybrid2023 (5)" description="Connection to the 'pkwelektrohybrid2023 (5)' query in the workbook." type="5" refreshedVersion="8" background="1" saveData="1">
    <dbPr connection="Provider=Microsoft.Mashup.OleDb.1;Data Source=$Workbook$;Location=&quot;pkwelektrohybrid2023 (5)&quot;;Extended Properties=&quot;&quot;" command="SELECT * FROM [pkwelektrohybrid2023 (5)]"/>
  </connection>
</connections>
</file>

<file path=xl/sharedStrings.xml><?xml version="1.0" encoding="utf-8"?>
<sst xmlns="http://schemas.openxmlformats.org/spreadsheetml/2006/main" count="944" uniqueCount="52">
  <si>
    <t>NUTS1</t>
  </si>
  <si>
    <t>NUTS2</t>
  </si>
  <si>
    <t>NUTS3</t>
  </si>
  <si>
    <t>DISTRICT_CODE</t>
  </si>
  <si>
    <t>SUB_DISTRICT_CODE</t>
  </si>
  <si>
    <t>YEAR</t>
  </si>
  <si>
    <t>REF_YEAR</t>
  </si>
  <si>
    <t>FEDERAL_STATE</t>
  </si>
  <si>
    <t>ELECTRICITY</t>
  </si>
  <si>
    <t>HYBRID</t>
  </si>
  <si>
    <t>AT1</t>
  </si>
  <si>
    <t>AT11</t>
  </si>
  <si>
    <t>AT110</t>
  </si>
  <si>
    <t>Burgenland</t>
  </si>
  <si>
    <t>AT2</t>
  </si>
  <si>
    <t>AT21</t>
  </si>
  <si>
    <t>AT210</t>
  </si>
  <si>
    <t>Kärnten</t>
  </si>
  <si>
    <t>AT12</t>
  </si>
  <si>
    <t>AT120</t>
  </si>
  <si>
    <t>Niederösterreich</t>
  </si>
  <si>
    <t>AT3</t>
  </si>
  <si>
    <t>AT31</t>
  </si>
  <si>
    <t>AT30</t>
  </si>
  <si>
    <t>Oberösterreich</t>
  </si>
  <si>
    <t>AT32</t>
  </si>
  <si>
    <t>AT320</t>
  </si>
  <si>
    <t>Salzburg</t>
  </si>
  <si>
    <t>AT22</t>
  </si>
  <si>
    <t>AT220</t>
  </si>
  <si>
    <t>Steiermark</t>
  </si>
  <si>
    <t>AT33</t>
  </si>
  <si>
    <t>AT330</t>
  </si>
  <si>
    <t>Tirol</t>
  </si>
  <si>
    <t>AT34</t>
  </si>
  <si>
    <t>AT340</t>
  </si>
  <si>
    <t>Vorarlberg</t>
  </si>
  <si>
    <t>AT13</t>
  </si>
  <si>
    <t>AT130</t>
  </si>
  <si>
    <t>Wien</t>
  </si>
  <si>
    <t>TOTAL_ELECTRIFIED</t>
  </si>
  <si>
    <t>EV_SHARE</t>
  </si>
  <si>
    <t>EV YoY Growth</t>
  </si>
  <si>
    <t>Hybrid YoY Growth</t>
  </si>
  <si>
    <t>—</t>
  </si>
  <si>
    <t>Vienna Electrification Dynamics &amp; YoY Growth (2004–2023)</t>
  </si>
  <si>
    <t>Federal States Comparison (2023)</t>
  </si>
  <si>
    <t>Year</t>
  </si>
  <si>
    <t>Federal State</t>
  </si>
  <si>
    <t>Electric</t>
  </si>
  <si>
    <t xml:space="preserve">Hybrid </t>
  </si>
  <si>
    <t>EV Share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</si>
</sst>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9" fontId="2" fillId="0" borderId="0" xfId="1" applyFont="1"/>
    <xf numFmtId="9" fontId="0" fillId="0" borderId="0" xfId="1" applyFont="1"/>
    <xf numFmtId="9" fontId="0" fillId="0" borderId="0" xfId="0" applyNumberFormat="1"/>
    <xf numFmtId="3" fontId="0" fillId="0" borderId="0" xfId="0" applyNumberFormat="1"/>
    <xf numFmtId="169" fontId="0" fillId="0" borderId="0" xfId="0" applyNumberForma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13">
    <dxf>
      <numFmt numFmtId="169" formatCode="0.0%"/>
    </dxf>
    <dxf>
      <numFmt numFmtId="169" formatCode="0.0%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Таволжанский Богдан" refreshedDate="46251.020746064816" backgroundQuery="1" createdVersion="8" refreshedVersion="8" minRefreshableVersion="3" recordCount="180" xr:uid="{7D9D2ADE-82A2-4693-91EB-1C52BBE4F654}">
  <cacheSource type="external" connectionId="3"/>
  <cacheFields count="6">
    <cacheField name="YEAR" numFmtId="0">
      <sharedItems containsSemiMixedTypes="0" containsString="0" containsNumber="1" containsInteger="1" minValue="2004" maxValue="2023" count="20"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FEDERAL_STATE" numFmtId="0">
      <sharedItems count="9">
        <s v="Burgenland"/>
        <s v="Kärnten"/>
        <s v="Niederösterreich"/>
        <s v="Oberösterreich"/>
        <s v="Salzburg"/>
        <s v="Steiermark"/>
        <s v="Tirol"/>
        <s v="Vorarlberg"/>
        <s v="Wien"/>
      </sharedItems>
    </cacheField>
    <cacheField name="ELECTRICITY" numFmtId="0">
      <sharedItems containsSemiMixedTypes="0" containsString="0" containsNumber="1" containsInteger="1" minValue="1" maxValue="30291"/>
    </cacheField>
    <cacheField name="HYBRID" numFmtId="0">
      <sharedItems containsString="0" containsBlank="1" containsNumber="1" containsInteger="1" minValue="11" maxValue="52268"/>
    </cacheField>
    <cacheField name="TOTAL_ELECTRIFIED" numFmtId="0">
      <sharedItems containsSemiMixedTypes="0" containsString="0" containsNumber="1" containsInteger="1" minValue="1" maxValue="80013"/>
    </cacheField>
    <cacheField name="EV_SHARE" numFmtId="0">
      <sharedItems containsString="0" containsBlank="1" containsNumber="1" minValue="1.20481927710843E-2" maxValue="0.49719101123595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Таволжанский Богдан" refreshedDate="46251.724650694443" backgroundQuery="1" createdVersion="8" refreshedVersion="8" minRefreshableVersion="3" recordCount="180" xr:uid="{416F50F9-B1F0-4BB9-A404-F6A053908785}">
  <cacheSource type="external" connectionId="5"/>
  <cacheFields count="6">
    <cacheField name="YEAR" numFmtId="0">
      <sharedItems containsSemiMixedTypes="0" containsString="0" containsNumber="1" containsInteger="1" minValue="2004" maxValue="2023" count="20"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FEDERAL_STATE" numFmtId="0">
      <sharedItems count="9">
        <s v="Burgenland"/>
        <s v="Kärnten"/>
        <s v="Niederösterreich"/>
        <s v="Oberösterreich"/>
        <s v="Salzburg"/>
        <s v="Steiermark"/>
        <s v="Tirol"/>
        <s v="Vorarlberg"/>
        <s v="Wien"/>
      </sharedItems>
    </cacheField>
    <cacheField name="ELECTRICITY" numFmtId="0">
      <sharedItems containsSemiMixedTypes="0" containsString="0" containsNumber="1" containsInteger="1" minValue="1" maxValue="30291"/>
    </cacheField>
    <cacheField name="HYBRID" numFmtId="0">
      <sharedItems containsString="0" containsBlank="1" containsNumber="1" containsInteger="1" minValue="11" maxValue="52268"/>
    </cacheField>
    <cacheField name="TOTAL_ELECTRIFIED" numFmtId="0">
      <sharedItems containsSemiMixedTypes="0" containsString="0" containsNumber="1" containsInteger="1" minValue="1" maxValue="80013"/>
    </cacheField>
    <cacheField name="EV_SHARE" numFmtId="0">
      <sharedItems containsString="0" containsBlank="1" containsNumber="1" minValue="1.20481927710843E-2" maxValue="0.49719101123595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1"/>
    <m/>
    <n v="1"/>
    <m/>
  </r>
  <r>
    <x v="1"/>
    <x v="0"/>
    <n v="1"/>
    <m/>
    <n v="1"/>
    <m/>
  </r>
  <r>
    <x v="2"/>
    <x v="0"/>
    <n v="1"/>
    <n v="11"/>
    <n v="12"/>
    <n v="8.3333333333333301E-2"/>
  </r>
  <r>
    <x v="3"/>
    <x v="0"/>
    <n v="1"/>
    <n v="37"/>
    <n v="38"/>
    <n v="2.6315789473684199E-2"/>
  </r>
  <r>
    <x v="4"/>
    <x v="0"/>
    <n v="1"/>
    <n v="82"/>
    <n v="83"/>
    <n v="1.20481927710843E-2"/>
  </r>
  <r>
    <x v="5"/>
    <x v="0"/>
    <n v="2"/>
    <n v="112"/>
    <n v="114"/>
    <n v="1.7543859649122799E-2"/>
  </r>
  <r>
    <x v="6"/>
    <x v="0"/>
    <n v="5"/>
    <n v="138"/>
    <n v="143"/>
    <n v="3.4965034965035002E-2"/>
  </r>
  <r>
    <x v="7"/>
    <x v="0"/>
    <n v="10"/>
    <n v="153"/>
    <n v="163"/>
    <n v="6.13496932515337E-2"/>
  </r>
  <r>
    <x v="8"/>
    <x v="0"/>
    <n v="19"/>
    <n v="195"/>
    <n v="214"/>
    <n v="8.8785046728972E-2"/>
  </r>
  <r>
    <x v="9"/>
    <x v="0"/>
    <n v="34"/>
    <n v="259"/>
    <n v="293"/>
    <n v="0.116040955631399"/>
  </r>
  <r>
    <x v="10"/>
    <x v="0"/>
    <n v="55"/>
    <n v="326"/>
    <n v="381"/>
    <n v="0.144356955380577"/>
  </r>
  <r>
    <x v="11"/>
    <x v="0"/>
    <n v="93"/>
    <n v="396"/>
    <n v="489"/>
    <n v="0.190184049079755"/>
  </r>
  <r>
    <x v="12"/>
    <x v="0"/>
    <n v="188"/>
    <n v="500"/>
    <n v="688"/>
    <n v="0.27325581395348802"/>
  </r>
  <r>
    <x v="13"/>
    <x v="0"/>
    <n v="338"/>
    <n v="732"/>
    <n v="1070"/>
    <n v="0.31588785046729001"/>
  </r>
  <r>
    <x v="14"/>
    <x v="0"/>
    <n v="490"/>
    <n v="959"/>
    <n v="1449"/>
    <n v="0.33816425120773003"/>
  </r>
  <r>
    <x v="15"/>
    <x v="0"/>
    <n v="728"/>
    <n v="1395"/>
    <n v="2123"/>
    <n v="0.34291097503532703"/>
  </r>
  <r>
    <x v="16"/>
    <x v="0"/>
    <n v="1151"/>
    <n v="2327"/>
    <n v="3478"/>
    <n v="0.33093732029902201"/>
  </r>
  <r>
    <x v="17"/>
    <x v="0"/>
    <n v="2172"/>
    <n v="3935"/>
    <n v="6107"/>
    <n v="0.35565744227935198"/>
  </r>
  <r>
    <x v="18"/>
    <x v="0"/>
    <n v="3420"/>
    <n v="5570"/>
    <n v="8990"/>
    <n v="0.38042269187986599"/>
  </r>
  <r>
    <x v="19"/>
    <x v="0"/>
    <n v="4724"/>
    <n v="7408"/>
    <n v="12132"/>
    <n v="0.38938344873063002"/>
  </r>
  <r>
    <x v="0"/>
    <x v="1"/>
    <n v="13"/>
    <m/>
    <n v="13"/>
    <m/>
  </r>
  <r>
    <x v="1"/>
    <x v="1"/>
    <n v="15"/>
    <m/>
    <n v="15"/>
    <m/>
  </r>
  <r>
    <x v="2"/>
    <x v="1"/>
    <n v="17"/>
    <n v="23"/>
    <n v="40"/>
    <n v="0.42499999999999999"/>
  </r>
  <r>
    <x v="3"/>
    <x v="1"/>
    <n v="17"/>
    <n v="61"/>
    <n v="78"/>
    <n v="0.21794871794871801"/>
  </r>
  <r>
    <x v="4"/>
    <x v="1"/>
    <n v="34"/>
    <n v="116"/>
    <n v="150"/>
    <n v="0.22666666666666699"/>
  </r>
  <r>
    <x v="5"/>
    <x v="1"/>
    <n v="46"/>
    <n v="158"/>
    <n v="204"/>
    <n v="0.22549019607843099"/>
  </r>
  <r>
    <x v="6"/>
    <x v="1"/>
    <n v="55"/>
    <n v="216"/>
    <n v="271"/>
    <n v="0.20295202952029501"/>
  </r>
  <r>
    <x v="7"/>
    <x v="1"/>
    <n v="99"/>
    <n v="261"/>
    <n v="360"/>
    <n v="0.27500000000000002"/>
  </r>
  <r>
    <x v="8"/>
    <x v="1"/>
    <n v="141"/>
    <n v="358"/>
    <n v="499"/>
    <n v="0.28256513026052099"/>
  </r>
  <r>
    <x v="9"/>
    <x v="1"/>
    <n v="203"/>
    <n v="478"/>
    <n v="681"/>
    <n v="0.29809104258443497"/>
  </r>
  <r>
    <x v="10"/>
    <x v="1"/>
    <n v="264"/>
    <n v="611"/>
    <n v="875"/>
    <n v="0.30171428571428599"/>
  </r>
  <r>
    <x v="11"/>
    <x v="1"/>
    <n v="341"/>
    <n v="755"/>
    <n v="1096"/>
    <n v="0.31113138686131397"/>
  </r>
  <r>
    <x v="12"/>
    <x v="1"/>
    <n v="518"/>
    <n v="963"/>
    <n v="1481"/>
    <n v="0.34976367319378798"/>
  </r>
  <r>
    <x v="13"/>
    <x v="1"/>
    <n v="805"/>
    <n v="1302"/>
    <n v="2107"/>
    <n v="0.382059800664452"/>
  </r>
  <r>
    <x v="14"/>
    <x v="1"/>
    <n v="1092"/>
    <n v="1708"/>
    <n v="2800"/>
    <n v="0.39"/>
  </r>
  <r>
    <x v="15"/>
    <x v="1"/>
    <n v="1492"/>
    <n v="2585"/>
    <n v="4077"/>
    <n v="0.36595535933284301"/>
  </r>
  <r>
    <x v="16"/>
    <x v="1"/>
    <n v="2241"/>
    <n v="4298"/>
    <n v="6539"/>
    <n v="0.34271295305092497"/>
  </r>
  <r>
    <x v="17"/>
    <x v="1"/>
    <n v="3703"/>
    <n v="7579"/>
    <n v="11282"/>
    <n v="0.32822194646339298"/>
  </r>
  <r>
    <x v="18"/>
    <x v="1"/>
    <n v="5388"/>
    <n v="10603"/>
    <n v="15991"/>
    <n v="0.33693952848477299"/>
  </r>
  <r>
    <x v="19"/>
    <x v="1"/>
    <n v="7644"/>
    <n v="14501"/>
    <n v="22145"/>
    <n v="0.34517949875818499"/>
  </r>
  <r>
    <x v="0"/>
    <x v="2"/>
    <n v="40"/>
    <m/>
    <n v="40"/>
    <m/>
  </r>
  <r>
    <x v="1"/>
    <x v="2"/>
    <n v="46"/>
    <m/>
    <n v="46"/>
    <m/>
  </r>
  <r>
    <x v="2"/>
    <x v="2"/>
    <n v="49"/>
    <n v="98"/>
    <n v="147"/>
    <n v="0.33333333333333298"/>
  </r>
  <r>
    <x v="3"/>
    <x v="2"/>
    <n v="51"/>
    <n v="263"/>
    <n v="314"/>
    <n v="0.162420382165605"/>
  </r>
  <r>
    <x v="4"/>
    <x v="2"/>
    <n v="52"/>
    <n v="584"/>
    <n v="636"/>
    <n v="8.17610062893082E-2"/>
  </r>
  <r>
    <x v="5"/>
    <x v="2"/>
    <n v="65"/>
    <n v="775"/>
    <n v="840"/>
    <n v="7.7380952380952397E-2"/>
  </r>
  <r>
    <x v="6"/>
    <x v="2"/>
    <n v="78"/>
    <n v="1042"/>
    <n v="1120"/>
    <n v="6.9642857142857201E-2"/>
  </r>
  <r>
    <x v="7"/>
    <x v="2"/>
    <n v="128"/>
    <n v="1295"/>
    <n v="1423"/>
    <n v="8.9950808151792003E-2"/>
  </r>
  <r>
    <x v="8"/>
    <x v="2"/>
    <n v="207"/>
    <n v="1656"/>
    <n v="1863"/>
    <n v="0.11111111111111099"/>
  </r>
  <r>
    <x v="9"/>
    <x v="2"/>
    <n v="368"/>
    <n v="2100"/>
    <n v="2468"/>
    <n v="0.14910858995137799"/>
  </r>
  <r>
    <x v="10"/>
    <x v="2"/>
    <n v="731"/>
    <n v="2561"/>
    <n v="3292"/>
    <n v="0.22205346294046199"/>
  </r>
  <r>
    <x v="11"/>
    <x v="2"/>
    <n v="1157"/>
    <n v="3163"/>
    <n v="4320"/>
    <n v="0.26782407407407399"/>
  </r>
  <r>
    <x v="12"/>
    <x v="2"/>
    <n v="2058"/>
    <n v="4032"/>
    <n v="6090"/>
    <n v="0.33793103448275902"/>
  </r>
  <r>
    <x v="13"/>
    <x v="2"/>
    <n v="3290"/>
    <n v="5479"/>
    <n v="8769"/>
    <n v="0.37518531189417298"/>
  </r>
  <r>
    <x v="14"/>
    <x v="2"/>
    <n v="4750"/>
    <n v="7229"/>
    <n v="11979"/>
    <n v="0.396527256031388"/>
  </r>
  <r>
    <x v="15"/>
    <x v="2"/>
    <n v="6378"/>
    <n v="10292"/>
    <n v="16670"/>
    <n v="0.38260347930413902"/>
  </r>
  <r>
    <x v="16"/>
    <x v="2"/>
    <n v="9369"/>
    <n v="16606"/>
    <n v="25975"/>
    <n v="0.360692974013474"/>
  </r>
  <r>
    <x v="17"/>
    <x v="2"/>
    <n v="15377"/>
    <n v="26998"/>
    <n v="42375"/>
    <n v="0.362879056047198"/>
  </r>
  <r>
    <x v="18"/>
    <x v="2"/>
    <n v="21665"/>
    <n v="37056"/>
    <n v="58721"/>
    <n v="0.36894807649733502"/>
  </r>
  <r>
    <x v="19"/>
    <x v="2"/>
    <n v="30073"/>
    <n v="48932"/>
    <n v="79005"/>
    <n v="0.38064679450667699"/>
  </r>
  <r>
    <x v="0"/>
    <x v="3"/>
    <n v="8"/>
    <m/>
    <n v="8"/>
    <m/>
  </r>
  <r>
    <x v="1"/>
    <x v="3"/>
    <n v="4"/>
    <m/>
    <n v="4"/>
    <m/>
  </r>
  <r>
    <x v="2"/>
    <x v="3"/>
    <n v="6"/>
    <n v="56"/>
    <n v="62"/>
    <n v="9.6774193548387094E-2"/>
  </r>
  <r>
    <x v="3"/>
    <x v="3"/>
    <n v="9"/>
    <n v="158"/>
    <n v="167"/>
    <n v="5.3892215568862298E-2"/>
  </r>
  <r>
    <x v="4"/>
    <x v="3"/>
    <n v="9"/>
    <n v="362"/>
    <n v="371"/>
    <n v="2.4258760107816701E-2"/>
  </r>
  <r>
    <x v="5"/>
    <x v="3"/>
    <n v="11"/>
    <n v="513"/>
    <n v="524"/>
    <n v="2.0992366412213699E-2"/>
  </r>
  <r>
    <x v="6"/>
    <x v="3"/>
    <n v="19"/>
    <n v="708"/>
    <n v="727"/>
    <n v="2.61348005502063E-2"/>
  </r>
  <r>
    <x v="7"/>
    <x v="3"/>
    <n v="63"/>
    <n v="922"/>
    <n v="985"/>
    <n v="6.3959390862944193E-2"/>
  </r>
  <r>
    <x v="8"/>
    <x v="3"/>
    <n v="126"/>
    <n v="1259"/>
    <n v="1385"/>
    <n v="9.09747292418773E-2"/>
  </r>
  <r>
    <x v="9"/>
    <x v="3"/>
    <n v="254"/>
    <n v="1629"/>
    <n v="1883"/>
    <n v="0.134891131173659"/>
  </r>
  <r>
    <x v="10"/>
    <x v="3"/>
    <n v="471"/>
    <n v="1943"/>
    <n v="2414"/>
    <n v="0.19511184755592401"/>
  </r>
  <r>
    <x v="11"/>
    <x v="3"/>
    <n v="799"/>
    <n v="2315"/>
    <n v="3114"/>
    <n v="0.25658317276814402"/>
  </r>
  <r>
    <x v="12"/>
    <x v="3"/>
    <n v="1579"/>
    <n v="2967"/>
    <n v="4546"/>
    <n v="0.34733831940167198"/>
  </r>
  <r>
    <x v="13"/>
    <x v="3"/>
    <n v="2598"/>
    <n v="3966"/>
    <n v="6564"/>
    <n v="0.39579524680073103"/>
  </r>
  <r>
    <x v="14"/>
    <x v="3"/>
    <n v="3733"/>
    <n v="5210"/>
    <n v="8943"/>
    <n v="0.41742144694174199"/>
  </r>
  <r>
    <x v="15"/>
    <x v="3"/>
    <n v="5358"/>
    <n v="7523"/>
    <n v="12881"/>
    <n v="0.41596149367285201"/>
  </r>
  <r>
    <x v="16"/>
    <x v="3"/>
    <n v="8229"/>
    <n v="12663"/>
    <n v="20892"/>
    <n v="0.39388282596209101"/>
  </r>
  <r>
    <x v="17"/>
    <x v="3"/>
    <n v="15141"/>
    <n v="21649"/>
    <n v="36790"/>
    <n v="0.41155205218809499"/>
  </r>
  <r>
    <x v="18"/>
    <x v="3"/>
    <n v="21746"/>
    <n v="30551"/>
    <n v="52297"/>
    <n v="0.41581735089966898"/>
  </r>
  <r>
    <x v="19"/>
    <x v="3"/>
    <n v="30291"/>
    <n v="40680"/>
    <n v="70971"/>
    <n v="0.42680813289935299"/>
  </r>
  <r>
    <x v="0"/>
    <x v="4"/>
    <n v="9"/>
    <m/>
    <n v="9"/>
    <m/>
  </r>
  <r>
    <x v="1"/>
    <x v="4"/>
    <n v="7"/>
    <m/>
    <n v="7"/>
    <m/>
  </r>
  <r>
    <x v="2"/>
    <x v="4"/>
    <n v="3"/>
    <n v="22"/>
    <n v="25"/>
    <n v="0.12"/>
  </r>
  <r>
    <x v="3"/>
    <x v="4"/>
    <n v="3"/>
    <n v="73"/>
    <n v="76"/>
    <n v="3.94736842105263E-2"/>
  </r>
  <r>
    <x v="4"/>
    <x v="4"/>
    <n v="2"/>
    <n v="147"/>
    <n v="149"/>
    <n v="1.34228187919463E-2"/>
  </r>
  <r>
    <x v="5"/>
    <x v="4"/>
    <n v="4"/>
    <n v="202"/>
    <n v="206"/>
    <n v="1.94174757281553E-2"/>
  </r>
  <r>
    <x v="6"/>
    <x v="4"/>
    <n v="44"/>
    <n v="278"/>
    <n v="322"/>
    <n v="0.13664596273291901"/>
  </r>
  <r>
    <x v="7"/>
    <x v="4"/>
    <n v="142"/>
    <n v="374"/>
    <n v="516"/>
    <n v="0.275193798449612"/>
  </r>
  <r>
    <x v="8"/>
    <x v="4"/>
    <n v="191"/>
    <n v="504"/>
    <n v="695"/>
    <n v="0.27482014388489201"/>
  </r>
  <r>
    <x v="9"/>
    <x v="4"/>
    <n v="266"/>
    <n v="693"/>
    <n v="959"/>
    <n v="0.27737226277372301"/>
  </r>
  <r>
    <x v="10"/>
    <x v="4"/>
    <n v="393"/>
    <n v="828"/>
    <n v="1221"/>
    <n v="0.32186732186732198"/>
  </r>
  <r>
    <x v="11"/>
    <x v="4"/>
    <n v="526"/>
    <n v="1061"/>
    <n v="1587"/>
    <n v="0.331442974165091"/>
  </r>
  <r>
    <x v="12"/>
    <x v="4"/>
    <n v="850"/>
    <n v="1396"/>
    <n v="2246"/>
    <n v="0.37845057880676802"/>
  </r>
  <r>
    <x v="13"/>
    <x v="4"/>
    <n v="1267"/>
    <n v="1826"/>
    <n v="3093"/>
    <n v="0.40963465890721001"/>
  </r>
  <r>
    <x v="14"/>
    <x v="4"/>
    <n v="1700"/>
    <n v="2491"/>
    <n v="4191"/>
    <n v="0.40563111429253201"/>
  </r>
  <r>
    <x v="15"/>
    <x v="4"/>
    <n v="2268"/>
    <n v="3461"/>
    <n v="5729"/>
    <n v="0.39588060743585302"/>
  </r>
  <r>
    <x v="16"/>
    <x v="4"/>
    <n v="3600"/>
    <n v="5970"/>
    <n v="9570"/>
    <n v="0.37617554858934199"/>
  </r>
  <r>
    <x v="17"/>
    <x v="4"/>
    <n v="6383"/>
    <n v="9957"/>
    <n v="16340"/>
    <n v="0.39063647490820103"/>
  </r>
  <r>
    <x v="18"/>
    <x v="4"/>
    <n v="8957"/>
    <n v="13892"/>
    <n v="22849"/>
    <n v="0.39200840299356599"/>
  </r>
  <r>
    <x v="19"/>
    <x v="4"/>
    <n v="12220"/>
    <n v="18356"/>
    <n v="30576"/>
    <n v="0.39965986394557801"/>
  </r>
  <r>
    <x v="0"/>
    <x v="5"/>
    <n v="12"/>
    <m/>
    <n v="12"/>
    <m/>
  </r>
  <r>
    <x v="1"/>
    <x v="5"/>
    <n v="11"/>
    <m/>
    <n v="11"/>
    <m/>
  </r>
  <r>
    <x v="2"/>
    <x v="5"/>
    <n v="10"/>
    <n v="45"/>
    <n v="55"/>
    <n v="0.18181818181818199"/>
  </r>
  <r>
    <x v="3"/>
    <x v="5"/>
    <n v="10"/>
    <n v="132"/>
    <n v="142"/>
    <n v="7.0422535211267595E-2"/>
  </r>
  <r>
    <x v="4"/>
    <x v="5"/>
    <n v="11"/>
    <n v="291"/>
    <n v="302"/>
    <n v="3.6423841059602599E-2"/>
  </r>
  <r>
    <x v="5"/>
    <x v="5"/>
    <n v="15"/>
    <n v="388"/>
    <n v="403"/>
    <n v="3.7220843672456601E-2"/>
  </r>
  <r>
    <x v="6"/>
    <x v="5"/>
    <n v="18"/>
    <n v="531"/>
    <n v="549"/>
    <n v="3.2786885245901599E-2"/>
  </r>
  <r>
    <x v="7"/>
    <x v="5"/>
    <n v="47"/>
    <n v="664"/>
    <n v="711"/>
    <n v="6.6104078762306603E-2"/>
  </r>
  <r>
    <x v="8"/>
    <x v="5"/>
    <n v="110"/>
    <n v="939"/>
    <n v="1049"/>
    <n v="0.104861773117255"/>
  </r>
  <r>
    <x v="9"/>
    <x v="5"/>
    <n v="233"/>
    <n v="1168"/>
    <n v="1401"/>
    <n v="0.166309778729479"/>
  </r>
  <r>
    <x v="10"/>
    <x v="5"/>
    <n v="483"/>
    <n v="1389"/>
    <n v="1872"/>
    <n v="0.25801282051282098"/>
  </r>
  <r>
    <x v="11"/>
    <x v="5"/>
    <n v="731"/>
    <n v="1910"/>
    <n v="2641"/>
    <n v="0.27678909503975802"/>
  </r>
  <r>
    <x v="12"/>
    <x v="5"/>
    <n v="1383"/>
    <n v="2252"/>
    <n v="3635"/>
    <n v="0.38046767537826698"/>
  </r>
  <r>
    <x v="13"/>
    <x v="5"/>
    <n v="2279"/>
    <n v="3058"/>
    <n v="5337"/>
    <n v="0.42701892448941398"/>
  </r>
  <r>
    <x v="14"/>
    <x v="5"/>
    <n v="3188"/>
    <n v="4134"/>
    <n v="7322"/>
    <n v="0.43540016388964797"/>
  </r>
  <r>
    <x v="15"/>
    <x v="5"/>
    <n v="4391"/>
    <n v="5895"/>
    <n v="10286"/>
    <n v="0.42689091969667498"/>
  </r>
  <r>
    <x v="16"/>
    <x v="5"/>
    <n v="6393"/>
    <n v="9897"/>
    <n v="16290"/>
    <n v="0.39244935543278098"/>
  </r>
  <r>
    <x v="17"/>
    <x v="5"/>
    <n v="10487"/>
    <n v="17201"/>
    <n v="27688"/>
    <n v="0.37875613984397599"/>
  </r>
  <r>
    <x v="18"/>
    <x v="5"/>
    <n v="14510"/>
    <n v="24364"/>
    <n v="38874"/>
    <n v="0.37325718989556"/>
  </r>
  <r>
    <x v="19"/>
    <x v="5"/>
    <n v="19797"/>
    <n v="32996"/>
    <n v="52793"/>
    <n v="0.37499289678555903"/>
  </r>
  <r>
    <x v="0"/>
    <x v="6"/>
    <n v="6"/>
    <m/>
    <n v="6"/>
    <m/>
  </r>
  <r>
    <x v="1"/>
    <x v="6"/>
    <n v="5"/>
    <m/>
    <n v="5"/>
    <m/>
  </r>
  <r>
    <x v="2"/>
    <x v="6"/>
    <n v="4"/>
    <n v="36"/>
    <n v="40"/>
    <n v="0.1"/>
  </r>
  <r>
    <x v="3"/>
    <x v="6"/>
    <n v="6"/>
    <n v="94"/>
    <n v="100"/>
    <n v="0.06"/>
  </r>
  <r>
    <x v="4"/>
    <x v="6"/>
    <n v="6"/>
    <n v="198"/>
    <n v="204"/>
    <n v="2.9411764705882401E-2"/>
  </r>
  <r>
    <x v="5"/>
    <x v="6"/>
    <n v="8"/>
    <n v="253"/>
    <n v="261"/>
    <n v="3.0651340996168602E-2"/>
  </r>
  <r>
    <x v="6"/>
    <x v="6"/>
    <n v="14"/>
    <n v="335"/>
    <n v="349"/>
    <n v="4.0114613180515797E-2"/>
  </r>
  <r>
    <x v="7"/>
    <x v="6"/>
    <n v="36"/>
    <n v="454"/>
    <n v="490"/>
    <n v="7.3469387755102006E-2"/>
  </r>
  <r>
    <x v="8"/>
    <x v="6"/>
    <n v="62"/>
    <n v="640"/>
    <n v="702"/>
    <n v="8.8319088319088301E-2"/>
  </r>
  <r>
    <x v="9"/>
    <x v="6"/>
    <n v="87"/>
    <n v="880"/>
    <n v="967"/>
    <n v="8.9968976215098195E-2"/>
  </r>
  <r>
    <x v="10"/>
    <x v="6"/>
    <n v="193"/>
    <n v="1091"/>
    <n v="1284"/>
    <n v="0.15031152647975099"/>
  </r>
  <r>
    <x v="11"/>
    <x v="6"/>
    <n v="321"/>
    <n v="1343"/>
    <n v="1664"/>
    <n v="0.19290865384615399"/>
  </r>
  <r>
    <x v="12"/>
    <x v="6"/>
    <n v="734"/>
    <n v="1728"/>
    <n v="2462"/>
    <n v="0.29813160032493902"/>
  </r>
  <r>
    <x v="13"/>
    <x v="6"/>
    <n v="1316"/>
    <n v="2513"/>
    <n v="3829"/>
    <n v="0.34369287020109701"/>
  </r>
  <r>
    <x v="14"/>
    <x v="6"/>
    <n v="2010"/>
    <n v="3336"/>
    <n v="5346"/>
    <n v="0.37598204264870899"/>
  </r>
  <r>
    <x v="15"/>
    <x v="6"/>
    <n v="2877"/>
    <n v="4765"/>
    <n v="7642"/>
    <n v="0.37647212771525801"/>
  </r>
  <r>
    <x v="16"/>
    <x v="6"/>
    <n v="4348"/>
    <n v="7736"/>
    <n v="12084"/>
    <n v="0.35981463091691501"/>
  </r>
  <r>
    <x v="17"/>
    <x v="6"/>
    <n v="7030"/>
    <n v="13184"/>
    <n v="20214"/>
    <n v="0.34777876719105599"/>
  </r>
  <r>
    <x v="18"/>
    <x v="6"/>
    <n v="10204"/>
    <n v="18124"/>
    <n v="28328"/>
    <n v="0.36020898051397898"/>
  </r>
  <r>
    <x v="19"/>
    <x v="6"/>
    <n v="14162"/>
    <n v="23877"/>
    <n v="38039"/>
    <n v="0.37230211099135102"/>
  </r>
  <r>
    <x v="0"/>
    <x v="7"/>
    <n v="17"/>
    <m/>
    <n v="17"/>
    <m/>
  </r>
  <r>
    <x v="1"/>
    <x v="7"/>
    <n v="16"/>
    <m/>
    <n v="16"/>
    <m/>
  </r>
  <r>
    <x v="2"/>
    <x v="7"/>
    <n v="17"/>
    <n v="28"/>
    <n v="45"/>
    <n v="0.37777777777777799"/>
  </r>
  <r>
    <x v="3"/>
    <x v="7"/>
    <n v="17"/>
    <n v="81"/>
    <n v="98"/>
    <n v="0.17346938775510201"/>
  </r>
  <r>
    <x v="4"/>
    <x v="7"/>
    <n v="16"/>
    <n v="161"/>
    <n v="177"/>
    <n v="9.03954802259887E-2"/>
  </r>
  <r>
    <x v="5"/>
    <x v="7"/>
    <n v="54"/>
    <n v="217"/>
    <n v="271"/>
    <n v="0.199261992619926"/>
  </r>
  <r>
    <x v="6"/>
    <x v="7"/>
    <n v="84"/>
    <n v="291"/>
    <n v="375"/>
    <n v="0.224"/>
  </r>
  <r>
    <x v="7"/>
    <x v="7"/>
    <n v="354"/>
    <n v="358"/>
    <n v="712"/>
    <n v="0.49719101123595499"/>
  </r>
  <r>
    <x v="8"/>
    <x v="7"/>
    <n v="396"/>
    <n v="449"/>
    <n v="845"/>
    <n v="0.468639053254438"/>
  </r>
  <r>
    <x v="9"/>
    <x v="7"/>
    <n v="417"/>
    <n v="592"/>
    <n v="1009"/>
    <n v="0.41328047571853299"/>
  </r>
  <r>
    <x v="10"/>
    <x v="7"/>
    <n v="459"/>
    <n v="722"/>
    <n v="1181"/>
    <n v="0.38865368331922101"/>
  </r>
  <r>
    <x v="11"/>
    <x v="7"/>
    <n v="523"/>
    <n v="872"/>
    <n v="1395"/>
    <n v="0.37491039426523298"/>
  </r>
  <r>
    <x v="12"/>
    <x v="7"/>
    <n v="833"/>
    <n v="1127"/>
    <n v="1960"/>
    <n v="0.42499999999999999"/>
  </r>
  <r>
    <x v="13"/>
    <x v="7"/>
    <n v="1193"/>
    <n v="1578"/>
    <n v="2771"/>
    <n v="0.43053049440635199"/>
  </r>
  <r>
    <x v="14"/>
    <x v="7"/>
    <n v="1616"/>
    <n v="2029"/>
    <n v="3645"/>
    <n v="0.44334705075445802"/>
  </r>
  <r>
    <x v="15"/>
    <x v="7"/>
    <n v="2178"/>
    <n v="2787"/>
    <n v="4965"/>
    <n v="0.43867069486404803"/>
  </r>
  <r>
    <x v="16"/>
    <x v="7"/>
    <n v="2931"/>
    <n v="4156"/>
    <n v="7087"/>
    <n v="0.41357414985184099"/>
  </r>
  <r>
    <x v="17"/>
    <x v="7"/>
    <n v="4655"/>
    <n v="6777"/>
    <n v="11432"/>
    <n v="0.40719034289713102"/>
  </r>
  <r>
    <x v="18"/>
    <x v="7"/>
    <n v="6530"/>
    <n v="9167"/>
    <n v="15697"/>
    <n v="0.41600305790915498"/>
  </r>
  <r>
    <x v="19"/>
    <x v="7"/>
    <n v="8834"/>
    <n v="11964"/>
    <n v="20798"/>
    <n v="0.42475238003654198"/>
  </r>
  <r>
    <x v="0"/>
    <x v="8"/>
    <n v="22"/>
    <m/>
    <n v="22"/>
    <m/>
  </r>
  <r>
    <x v="1"/>
    <x v="8"/>
    <n v="22"/>
    <m/>
    <n v="22"/>
    <m/>
  </r>
  <r>
    <x v="2"/>
    <x v="8"/>
    <n v="20"/>
    <n v="162"/>
    <n v="182"/>
    <n v="0.10989010989011"/>
  </r>
  <r>
    <x v="3"/>
    <x v="8"/>
    <n v="17"/>
    <n v="365"/>
    <n v="382"/>
    <n v="4.4502617801047098E-2"/>
  </r>
  <r>
    <x v="4"/>
    <x v="8"/>
    <n v="15"/>
    <n v="651"/>
    <n v="666"/>
    <n v="2.2522522522522501E-2"/>
  </r>
  <r>
    <x v="5"/>
    <x v="8"/>
    <n v="18"/>
    <n v="941"/>
    <n v="959"/>
    <n v="1.8769551616266901E-2"/>
  </r>
  <r>
    <x v="6"/>
    <x v="8"/>
    <n v="36"/>
    <n v="1253"/>
    <n v="1289"/>
    <n v="2.7928626842513599E-2"/>
  </r>
  <r>
    <x v="7"/>
    <x v="8"/>
    <n v="110"/>
    <n v="1579"/>
    <n v="1689"/>
    <n v="6.5127294256956805E-2"/>
  </r>
  <r>
    <x v="8"/>
    <x v="8"/>
    <n v="137"/>
    <n v="2100"/>
    <n v="2237"/>
    <n v="6.1242735806884198E-2"/>
  </r>
  <r>
    <x v="9"/>
    <x v="8"/>
    <n v="208"/>
    <n v="2705"/>
    <n v="2913"/>
    <n v="7.1404050806728403E-2"/>
  </r>
  <r>
    <x v="10"/>
    <x v="8"/>
    <n v="337"/>
    <n v="3352"/>
    <n v="3689"/>
    <n v="9.1352670100298197E-2"/>
  </r>
  <r>
    <x v="11"/>
    <x v="8"/>
    <n v="541"/>
    <n v="4047"/>
    <n v="4588"/>
    <n v="0.11791630340017401"/>
  </r>
  <r>
    <x v="12"/>
    <x v="8"/>
    <n v="930"/>
    <n v="5068"/>
    <n v="5998"/>
    <n v="0.155051683894632"/>
  </r>
  <r>
    <x v="13"/>
    <x v="8"/>
    <n v="1532"/>
    <n v="7040"/>
    <n v="8572"/>
    <n v="0.178721418572095"/>
  </r>
  <r>
    <x v="14"/>
    <x v="8"/>
    <n v="2252"/>
    <n v="9453"/>
    <n v="11705"/>
    <n v="0.19239641178983299"/>
  </r>
  <r>
    <x v="15"/>
    <x v="8"/>
    <n v="3853"/>
    <n v="13114"/>
    <n v="16967"/>
    <n v="0.227087876466081"/>
  </r>
  <r>
    <x v="16"/>
    <x v="8"/>
    <n v="6245"/>
    <n v="19708"/>
    <n v="25953"/>
    <n v="0.24062728778946599"/>
  </r>
  <r>
    <x v="17"/>
    <x v="8"/>
    <n v="11591"/>
    <n v="29694"/>
    <n v="41285"/>
    <n v="0.28075572241734298"/>
  </r>
  <r>
    <x v="18"/>
    <x v="8"/>
    <n v="17805"/>
    <n v="40359"/>
    <n v="58164"/>
    <n v="0.30611718588817799"/>
  </r>
  <r>
    <x v="19"/>
    <x v="8"/>
    <n v="27745"/>
    <n v="52268"/>
    <n v="80013"/>
    <n v="0.34675615212527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1"/>
    <m/>
    <n v="1"/>
    <m/>
  </r>
  <r>
    <x v="1"/>
    <x v="0"/>
    <n v="1"/>
    <m/>
    <n v="1"/>
    <m/>
  </r>
  <r>
    <x v="2"/>
    <x v="0"/>
    <n v="1"/>
    <n v="11"/>
    <n v="12"/>
    <n v="8.3333333333333301E-2"/>
  </r>
  <r>
    <x v="3"/>
    <x v="0"/>
    <n v="1"/>
    <n v="37"/>
    <n v="38"/>
    <n v="2.6315789473684199E-2"/>
  </r>
  <r>
    <x v="4"/>
    <x v="0"/>
    <n v="1"/>
    <n v="82"/>
    <n v="83"/>
    <n v="1.20481927710843E-2"/>
  </r>
  <r>
    <x v="5"/>
    <x v="0"/>
    <n v="2"/>
    <n v="112"/>
    <n v="114"/>
    <n v="1.7543859649122799E-2"/>
  </r>
  <r>
    <x v="6"/>
    <x v="0"/>
    <n v="5"/>
    <n v="138"/>
    <n v="143"/>
    <n v="3.4965034965035002E-2"/>
  </r>
  <r>
    <x v="7"/>
    <x v="0"/>
    <n v="10"/>
    <n v="153"/>
    <n v="163"/>
    <n v="6.13496932515337E-2"/>
  </r>
  <r>
    <x v="8"/>
    <x v="0"/>
    <n v="19"/>
    <n v="195"/>
    <n v="214"/>
    <n v="8.8785046728972E-2"/>
  </r>
  <r>
    <x v="9"/>
    <x v="0"/>
    <n v="34"/>
    <n v="259"/>
    <n v="293"/>
    <n v="0.116040955631399"/>
  </r>
  <r>
    <x v="10"/>
    <x v="0"/>
    <n v="55"/>
    <n v="326"/>
    <n v="381"/>
    <n v="0.144356955380577"/>
  </r>
  <r>
    <x v="11"/>
    <x v="0"/>
    <n v="93"/>
    <n v="396"/>
    <n v="489"/>
    <n v="0.190184049079755"/>
  </r>
  <r>
    <x v="12"/>
    <x v="0"/>
    <n v="188"/>
    <n v="500"/>
    <n v="688"/>
    <n v="0.27325581395348802"/>
  </r>
  <r>
    <x v="13"/>
    <x v="0"/>
    <n v="338"/>
    <n v="732"/>
    <n v="1070"/>
    <n v="0.31588785046729001"/>
  </r>
  <r>
    <x v="14"/>
    <x v="0"/>
    <n v="490"/>
    <n v="959"/>
    <n v="1449"/>
    <n v="0.33816425120773003"/>
  </r>
  <r>
    <x v="15"/>
    <x v="0"/>
    <n v="728"/>
    <n v="1395"/>
    <n v="2123"/>
    <n v="0.34291097503532703"/>
  </r>
  <r>
    <x v="16"/>
    <x v="0"/>
    <n v="1151"/>
    <n v="2327"/>
    <n v="3478"/>
    <n v="0.33093732029902201"/>
  </r>
  <r>
    <x v="17"/>
    <x v="0"/>
    <n v="2172"/>
    <n v="3935"/>
    <n v="6107"/>
    <n v="0.35565744227935198"/>
  </r>
  <r>
    <x v="18"/>
    <x v="0"/>
    <n v="3420"/>
    <n v="5570"/>
    <n v="8990"/>
    <n v="0.38042269187986599"/>
  </r>
  <r>
    <x v="19"/>
    <x v="0"/>
    <n v="4724"/>
    <n v="7408"/>
    <n v="12132"/>
    <n v="0.38938344873063002"/>
  </r>
  <r>
    <x v="0"/>
    <x v="1"/>
    <n v="13"/>
    <m/>
    <n v="13"/>
    <m/>
  </r>
  <r>
    <x v="1"/>
    <x v="1"/>
    <n v="15"/>
    <m/>
    <n v="15"/>
    <m/>
  </r>
  <r>
    <x v="2"/>
    <x v="1"/>
    <n v="17"/>
    <n v="23"/>
    <n v="40"/>
    <n v="0.42499999999999999"/>
  </r>
  <r>
    <x v="3"/>
    <x v="1"/>
    <n v="17"/>
    <n v="61"/>
    <n v="78"/>
    <n v="0.21794871794871801"/>
  </r>
  <r>
    <x v="4"/>
    <x v="1"/>
    <n v="34"/>
    <n v="116"/>
    <n v="150"/>
    <n v="0.22666666666666699"/>
  </r>
  <r>
    <x v="5"/>
    <x v="1"/>
    <n v="46"/>
    <n v="158"/>
    <n v="204"/>
    <n v="0.22549019607843099"/>
  </r>
  <r>
    <x v="6"/>
    <x v="1"/>
    <n v="55"/>
    <n v="216"/>
    <n v="271"/>
    <n v="0.20295202952029501"/>
  </r>
  <r>
    <x v="7"/>
    <x v="1"/>
    <n v="99"/>
    <n v="261"/>
    <n v="360"/>
    <n v="0.27500000000000002"/>
  </r>
  <r>
    <x v="8"/>
    <x v="1"/>
    <n v="141"/>
    <n v="358"/>
    <n v="499"/>
    <n v="0.28256513026052099"/>
  </r>
  <r>
    <x v="9"/>
    <x v="1"/>
    <n v="203"/>
    <n v="478"/>
    <n v="681"/>
    <n v="0.29809104258443497"/>
  </r>
  <r>
    <x v="10"/>
    <x v="1"/>
    <n v="264"/>
    <n v="611"/>
    <n v="875"/>
    <n v="0.30171428571428599"/>
  </r>
  <r>
    <x v="11"/>
    <x v="1"/>
    <n v="341"/>
    <n v="755"/>
    <n v="1096"/>
    <n v="0.31113138686131397"/>
  </r>
  <r>
    <x v="12"/>
    <x v="1"/>
    <n v="518"/>
    <n v="963"/>
    <n v="1481"/>
    <n v="0.34976367319378798"/>
  </r>
  <r>
    <x v="13"/>
    <x v="1"/>
    <n v="805"/>
    <n v="1302"/>
    <n v="2107"/>
    <n v="0.382059800664452"/>
  </r>
  <r>
    <x v="14"/>
    <x v="1"/>
    <n v="1092"/>
    <n v="1708"/>
    <n v="2800"/>
    <n v="0.39"/>
  </r>
  <r>
    <x v="15"/>
    <x v="1"/>
    <n v="1492"/>
    <n v="2585"/>
    <n v="4077"/>
    <n v="0.36595535933284301"/>
  </r>
  <r>
    <x v="16"/>
    <x v="1"/>
    <n v="2241"/>
    <n v="4298"/>
    <n v="6539"/>
    <n v="0.34271295305092497"/>
  </r>
  <r>
    <x v="17"/>
    <x v="1"/>
    <n v="3703"/>
    <n v="7579"/>
    <n v="11282"/>
    <n v="0.32822194646339298"/>
  </r>
  <r>
    <x v="18"/>
    <x v="1"/>
    <n v="5388"/>
    <n v="10603"/>
    <n v="15991"/>
    <n v="0.33693952848477299"/>
  </r>
  <r>
    <x v="19"/>
    <x v="1"/>
    <n v="7644"/>
    <n v="14501"/>
    <n v="22145"/>
    <n v="0.34517949875818499"/>
  </r>
  <r>
    <x v="0"/>
    <x v="2"/>
    <n v="40"/>
    <m/>
    <n v="40"/>
    <m/>
  </r>
  <r>
    <x v="1"/>
    <x v="2"/>
    <n v="46"/>
    <m/>
    <n v="46"/>
    <m/>
  </r>
  <r>
    <x v="2"/>
    <x v="2"/>
    <n v="49"/>
    <n v="98"/>
    <n v="147"/>
    <n v="0.33333333333333298"/>
  </r>
  <r>
    <x v="3"/>
    <x v="2"/>
    <n v="51"/>
    <n v="263"/>
    <n v="314"/>
    <n v="0.162420382165605"/>
  </r>
  <r>
    <x v="4"/>
    <x v="2"/>
    <n v="52"/>
    <n v="584"/>
    <n v="636"/>
    <n v="8.17610062893082E-2"/>
  </r>
  <r>
    <x v="5"/>
    <x v="2"/>
    <n v="65"/>
    <n v="775"/>
    <n v="840"/>
    <n v="7.7380952380952397E-2"/>
  </r>
  <r>
    <x v="6"/>
    <x v="2"/>
    <n v="78"/>
    <n v="1042"/>
    <n v="1120"/>
    <n v="6.9642857142857201E-2"/>
  </r>
  <r>
    <x v="7"/>
    <x v="2"/>
    <n v="128"/>
    <n v="1295"/>
    <n v="1423"/>
    <n v="8.9950808151792003E-2"/>
  </r>
  <r>
    <x v="8"/>
    <x v="2"/>
    <n v="207"/>
    <n v="1656"/>
    <n v="1863"/>
    <n v="0.11111111111111099"/>
  </r>
  <r>
    <x v="9"/>
    <x v="2"/>
    <n v="368"/>
    <n v="2100"/>
    <n v="2468"/>
    <n v="0.14910858995137799"/>
  </r>
  <r>
    <x v="10"/>
    <x v="2"/>
    <n v="731"/>
    <n v="2561"/>
    <n v="3292"/>
    <n v="0.22205346294046199"/>
  </r>
  <r>
    <x v="11"/>
    <x v="2"/>
    <n v="1157"/>
    <n v="3163"/>
    <n v="4320"/>
    <n v="0.26782407407407399"/>
  </r>
  <r>
    <x v="12"/>
    <x v="2"/>
    <n v="2058"/>
    <n v="4032"/>
    <n v="6090"/>
    <n v="0.33793103448275902"/>
  </r>
  <r>
    <x v="13"/>
    <x v="2"/>
    <n v="3290"/>
    <n v="5479"/>
    <n v="8769"/>
    <n v="0.37518531189417298"/>
  </r>
  <r>
    <x v="14"/>
    <x v="2"/>
    <n v="4750"/>
    <n v="7229"/>
    <n v="11979"/>
    <n v="0.396527256031388"/>
  </r>
  <r>
    <x v="15"/>
    <x v="2"/>
    <n v="6378"/>
    <n v="10292"/>
    <n v="16670"/>
    <n v="0.38260347930413902"/>
  </r>
  <r>
    <x v="16"/>
    <x v="2"/>
    <n v="9369"/>
    <n v="16606"/>
    <n v="25975"/>
    <n v="0.360692974013474"/>
  </r>
  <r>
    <x v="17"/>
    <x v="2"/>
    <n v="15377"/>
    <n v="26998"/>
    <n v="42375"/>
    <n v="0.362879056047198"/>
  </r>
  <r>
    <x v="18"/>
    <x v="2"/>
    <n v="21665"/>
    <n v="37056"/>
    <n v="58721"/>
    <n v="0.36894807649733502"/>
  </r>
  <r>
    <x v="19"/>
    <x v="2"/>
    <n v="30073"/>
    <n v="48932"/>
    <n v="79005"/>
    <n v="0.38064679450667699"/>
  </r>
  <r>
    <x v="0"/>
    <x v="3"/>
    <n v="8"/>
    <m/>
    <n v="8"/>
    <m/>
  </r>
  <r>
    <x v="1"/>
    <x v="3"/>
    <n v="4"/>
    <m/>
    <n v="4"/>
    <m/>
  </r>
  <r>
    <x v="2"/>
    <x v="3"/>
    <n v="6"/>
    <n v="56"/>
    <n v="62"/>
    <n v="9.6774193548387094E-2"/>
  </r>
  <r>
    <x v="3"/>
    <x v="3"/>
    <n v="9"/>
    <n v="158"/>
    <n v="167"/>
    <n v="5.3892215568862298E-2"/>
  </r>
  <r>
    <x v="4"/>
    <x v="3"/>
    <n v="9"/>
    <n v="362"/>
    <n v="371"/>
    <n v="2.4258760107816701E-2"/>
  </r>
  <r>
    <x v="5"/>
    <x v="3"/>
    <n v="11"/>
    <n v="513"/>
    <n v="524"/>
    <n v="2.0992366412213699E-2"/>
  </r>
  <r>
    <x v="6"/>
    <x v="3"/>
    <n v="19"/>
    <n v="708"/>
    <n v="727"/>
    <n v="2.61348005502063E-2"/>
  </r>
  <r>
    <x v="7"/>
    <x v="3"/>
    <n v="63"/>
    <n v="922"/>
    <n v="985"/>
    <n v="6.3959390862944193E-2"/>
  </r>
  <r>
    <x v="8"/>
    <x v="3"/>
    <n v="126"/>
    <n v="1259"/>
    <n v="1385"/>
    <n v="9.09747292418773E-2"/>
  </r>
  <r>
    <x v="9"/>
    <x v="3"/>
    <n v="254"/>
    <n v="1629"/>
    <n v="1883"/>
    <n v="0.134891131173659"/>
  </r>
  <r>
    <x v="10"/>
    <x v="3"/>
    <n v="471"/>
    <n v="1943"/>
    <n v="2414"/>
    <n v="0.19511184755592401"/>
  </r>
  <r>
    <x v="11"/>
    <x v="3"/>
    <n v="799"/>
    <n v="2315"/>
    <n v="3114"/>
    <n v="0.25658317276814402"/>
  </r>
  <r>
    <x v="12"/>
    <x v="3"/>
    <n v="1579"/>
    <n v="2967"/>
    <n v="4546"/>
    <n v="0.34733831940167198"/>
  </r>
  <r>
    <x v="13"/>
    <x v="3"/>
    <n v="2598"/>
    <n v="3966"/>
    <n v="6564"/>
    <n v="0.39579524680073103"/>
  </r>
  <r>
    <x v="14"/>
    <x v="3"/>
    <n v="3733"/>
    <n v="5210"/>
    <n v="8943"/>
    <n v="0.41742144694174199"/>
  </r>
  <r>
    <x v="15"/>
    <x v="3"/>
    <n v="5358"/>
    <n v="7523"/>
    <n v="12881"/>
    <n v="0.41596149367285201"/>
  </r>
  <r>
    <x v="16"/>
    <x v="3"/>
    <n v="8229"/>
    <n v="12663"/>
    <n v="20892"/>
    <n v="0.39388282596209101"/>
  </r>
  <r>
    <x v="17"/>
    <x v="3"/>
    <n v="15141"/>
    <n v="21649"/>
    <n v="36790"/>
    <n v="0.41155205218809499"/>
  </r>
  <r>
    <x v="18"/>
    <x v="3"/>
    <n v="21746"/>
    <n v="30551"/>
    <n v="52297"/>
    <n v="0.41581735089966898"/>
  </r>
  <r>
    <x v="19"/>
    <x v="3"/>
    <n v="30291"/>
    <n v="40680"/>
    <n v="70971"/>
    <n v="0.42680813289935299"/>
  </r>
  <r>
    <x v="0"/>
    <x v="4"/>
    <n v="9"/>
    <m/>
    <n v="9"/>
    <m/>
  </r>
  <r>
    <x v="1"/>
    <x v="4"/>
    <n v="7"/>
    <m/>
    <n v="7"/>
    <m/>
  </r>
  <r>
    <x v="2"/>
    <x v="4"/>
    <n v="3"/>
    <n v="22"/>
    <n v="25"/>
    <n v="0.12"/>
  </r>
  <r>
    <x v="3"/>
    <x v="4"/>
    <n v="3"/>
    <n v="73"/>
    <n v="76"/>
    <n v="3.94736842105263E-2"/>
  </r>
  <r>
    <x v="4"/>
    <x v="4"/>
    <n v="2"/>
    <n v="147"/>
    <n v="149"/>
    <n v="1.34228187919463E-2"/>
  </r>
  <r>
    <x v="5"/>
    <x v="4"/>
    <n v="4"/>
    <n v="202"/>
    <n v="206"/>
    <n v="1.94174757281553E-2"/>
  </r>
  <r>
    <x v="6"/>
    <x v="4"/>
    <n v="44"/>
    <n v="278"/>
    <n v="322"/>
    <n v="0.13664596273291901"/>
  </r>
  <r>
    <x v="7"/>
    <x v="4"/>
    <n v="142"/>
    <n v="374"/>
    <n v="516"/>
    <n v="0.275193798449612"/>
  </r>
  <r>
    <x v="8"/>
    <x v="4"/>
    <n v="191"/>
    <n v="504"/>
    <n v="695"/>
    <n v="0.27482014388489201"/>
  </r>
  <r>
    <x v="9"/>
    <x v="4"/>
    <n v="266"/>
    <n v="693"/>
    <n v="959"/>
    <n v="0.27737226277372301"/>
  </r>
  <r>
    <x v="10"/>
    <x v="4"/>
    <n v="393"/>
    <n v="828"/>
    <n v="1221"/>
    <n v="0.32186732186732198"/>
  </r>
  <r>
    <x v="11"/>
    <x v="4"/>
    <n v="526"/>
    <n v="1061"/>
    <n v="1587"/>
    <n v="0.331442974165091"/>
  </r>
  <r>
    <x v="12"/>
    <x v="4"/>
    <n v="850"/>
    <n v="1396"/>
    <n v="2246"/>
    <n v="0.37845057880676802"/>
  </r>
  <r>
    <x v="13"/>
    <x v="4"/>
    <n v="1267"/>
    <n v="1826"/>
    <n v="3093"/>
    <n v="0.40963465890721001"/>
  </r>
  <r>
    <x v="14"/>
    <x v="4"/>
    <n v="1700"/>
    <n v="2491"/>
    <n v="4191"/>
    <n v="0.40563111429253201"/>
  </r>
  <r>
    <x v="15"/>
    <x v="4"/>
    <n v="2268"/>
    <n v="3461"/>
    <n v="5729"/>
    <n v="0.39588060743585302"/>
  </r>
  <r>
    <x v="16"/>
    <x v="4"/>
    <n v="3600"/>
    <n v="5970"/>
    <n v="9570"/>
    <n v="0.37617554858934199"/>
  </r>
  <r>
    <x v="17"/>
    <x v="4"/>
    <n v="6383"/>
    <n v="9957"/>
    <n v="16340"/>
    <n v="0.39063647490820103"/>
  </r>
  <r>
    <x v="18"/>
    <x v="4"/>
    <n v="8957"/>
    <n v="13892"/>
    <n v="22849"/>
    <n v="0.39200840299356599"/>
  </r>
  <r>
    <x v="19"/>
    <x v="4"/>
    <n v="12220"/>
    <n v="18356"/>
    <n v="30576"/>
    <n v="0.39965986394557801"/>
  </r>
  <r>
    <x v="0"/>
    <x v="5"/>
    <n v="12"/>
    <m/>
    <n v="12"/>
    <m/>
  </r>
  <r>
    <x v="1"/>
    <x v="5"/>
    <n v="11"/>
    <m/>
    <n v="11"/>
    <m/>
  </r>
  <r>
    <x v="2"/>
    <x v="5"/>
    <n v="10"/>
    <n v="45"/>
    <n v="55"/>
    <n v="0.18181818181818199"/>
  </r>
  <r>
    <x v="3"/>
    <x v="5"/>
    <n v="10"/>
    <n v="132"/>
    <n v="142"/>
    <n v="7.0422535211267595E-2"/>
  </r>
  <r>
    <x v="4"/>
    <x v="5"/>
    <n v="11"/>
    <n v="291"/>
    <n v="302"/>
    <n v="3.6423841059602599E-2"/>
  </r>
  <r>
    <x v="5"/>
    <x v="5"/>
    <n v="15"/>
    <n v="388"/>
    <n v="403"/>
    <n v="3.7220843672456601E-2"/>
  </r>
  <r>
    <x v="6"/>
    <x v="5"/>
    <n v="18"/>
    <n v="531"/>
    <n v="549"/>
    <n v="3.2786885245901599E-2"/>
  </r>
  <r>
    <x v="7"/>
    <x v="5"/>
    <n v="47"/>
    <n v="664"/>
    <n v="711"/>
    <n v="6.6104078762306603E-2"/>
  </r>
  <r>
    <x v="8"/>
    <x v="5"/>
    <n v="110"/>
    <n v="939"/>
    <n v="1049"/>
    <n v="0.104861773117255"/>
  </r>
  <r>
    <x v="9"/>
    <x v="5"/>
    <n v="233"/>
    <n v="1168"/>
    <n v="1401"/>
    <n v="0.166309778729479"/>
  </r>
  <r>
    <x v="10"/>
    <x v="5"/>
    <n v="483"/>
    <n v="1389"/>
    <n v="1872"/>
    <n v="0.25801282051282098"/>
  </r>
  <r>
    <x v="11"/>
    <x v="5"/>
    <n v="731"/>
    <n v="1910"/>
    <n v="2641"/>
    <n v="0.27678909503975802"/>
  </r>
  <r>
    <x v="12"/>
    <x v="5"/>
    <n v="1383"/>
    <n v="2252"/>
    <n v="3635"/>
    <n v="0.38046767537826698"/>
  </r>
  <r>
    <x v="13"/>
    <x v="5"/>
    <n v="2279"/>
    <n v="3058"/>
    <n v="5337"/>
    <n v="0.42701892448941398"/>
  </r>
  <r>
    <x v="14"/>
    <x v="5"/>
    <n v="3188"/>
    <n v="4134"/>
    <n v="7322"/>
    <n v="0.43540016388964797"/>
  </r>
  <r>
    <x v="15"/>
    <x v="5"/>
    <n v="4391"/>
    <n v="5895"/>
    <n v="10286"/>
    <n v="0.42689091969667498"/>
  </r>
  <r>
    <x v="16"/>
    <x v="5"/>
    <n v="6393"/>
    <n v="9897"/>
    <n v="16290"/>
    <n v="0.39244935543278098"/>
  </r>
  <r>
    <x v="17"/>
    <x v="5"/>
    <n v="10487"/>
    <n v="17201"/>
    <n v="27688"/>
    <n v="0.37875613984397599"/>
  </r>
  <r>
    <x v="18"/>
    <x v="5"/>
    <n v="14510"/>
    <n v="24364"/>
    <n v="38874"/>
    <n v="0.37325718989556"/>
  </r>
  <r>
    <x v="19"/>
    <x v="5"/>
    <n v="19797"/>
    <n v="32996"/>
    <n v="52793"/>
    <n v="0.37499289678555903"/>
  </r>
  <r>
    <x v="0"/>
    <x v="6"/>
    <n v="6"/>
    <m/>
    <n v="6"/>
    <m/>
  </r>
  <r>
    <x v="1"/>
    <x v="6"/>
    <n v="5"/>
    <m/>
    <n v="5"/>
    <m/>
  </r>
  <r>
    <x v="2"/>
    <x v="6"/>
    <n v="4"/>
    <n v="36"/>
    <n v="40"/>
    <n v="0.1"/>
  </r>
  <r>
    <x v="3"/>
    <x v="6"/>
    <n v="6"/>
    <n v="94"/>
    <n v="100"/>
    <n v="0.06"/>
  </r>
  <r>
    <x v="4"/>
    <x v="6"/>
    <n v="6"/>
    <n v="198"/>
    <n v="204"/>
    <n v="2.9411764705882401E-2"/>
  </r>
  <r>
    <x v="5"/>
    <x v="6"/>
    <n v="8"/>
    <n v="253"/>
    <n v="261"/>
    <n v="3.0651340996168602E-2"/>
  </r>
  <r>
    <x v="6"/>
    <x v="6"/>
    <n v="14"/>
    <n v="335"/>
    <n v="349"/>
    <n v="4.0114613180515797E-2"/>
  </r>
  <r>
    <x v="7"/>
    <x v="6"/>
    <n v="36"/>
    <n v="454"/>
    <n v="490"/>
    <n v="7.3469387755102006E-2"/>
  </r>
  <r>
    <x v="8"/>
    <x v="6"/>
    <n v="62"/>
    <n v="640"/>
    <n v="702"/>
    <n v="8.8319088319088301E-2"/>
  </r>
  <r>
    <x v="9"/>
    <x v="6"/>
    <n v="87"/>
    <n v="880"/>
    <n v="967"/>
    <n v="8.9968976215098195E-2"/>
  </r>
  <r>
    <x v="10"/>
    <x v="6"/>
    <n v="193"/>
    <n v="1091"/>
    <n v="1284"/>
    <n v="0.15031152647975099"/>
  </r>
  <r>
    <x v="11"/>
    <x v="6"/>
    <n v="321"/>
    <n v="1343"/>
    <n v="1664"/>
    <n v="0.19290865384615399"/>
  </r>
  <r>
    <x v="12"/>
    <x v="6"/>
    <n v="734"/>
    <n v="1728"/>
    <n v="2462"/>
    <n v="0.29813160032493902"/>
  </r>
  <r>
    <x v="13"/>
    <x v="6"/>
    <n v="1316"/>
    <n v="2513"/>
    <n v="3829"/>
    <n v="0.34369287020109701"/>
  </r>
  <r>
    <x v="14"/>
    <x v="6"/>
    <n v="2010"/>
    <n v="3336"/>
    <n v="5346"/>
    <n v="0.37598204264870899"/>
  </r>
  <r>
    <x v="15"/>
    <x v="6"/>
    <n v="2877"/>
    <n v="4765"/>
    <n v="7642"/>
    <n v="0.37647212771525801"/>
  </r>
  <r>
    <x v="16"/>
    <x v="6"/>
    <n v="4348"/>
    <n v="7736"/>
    <n v="12084"/>
    <n v="0.35981463091691501"/>
  </r>
  <r>
    <x v="17"/>
    <x v="6"/>
    <n v="7030"/>
    <n v="13184"/>
    <n v="20214"/>
    <n v="0.34777876719105599"/>
  </r>
  <r>
    <x v="18"/>
    <x v="6"/>
    <n v="10204"/>
    <n v="18124"/>
    <n v="28328"/>
    <n v="0.36020898051397898"/>
  </r>
  <r>
    <x v="19"/>
    <x v="6"/>
    <n v="14162"/>
    <n v="23877"/>
    <n v="38039"/>
    <n v="0.37230211099135102"/>
  </r>
  <r>
    <x v="0"/>
    <x v="7"/>
    <n v="17"/>
    <m/>
    <n v="17"/>
    <m/>
  </r>
  <r>
    <x v="1"/>
    <x v="7"/>
    <n v="16"/>
    <m/>
    <n v="16"/>
    <m/>
  </r>
  <r>
    <x v="2"/>
    <x v="7"/>
    <n v="17"/>
    <n v="28"/>
    <n v="45"/>
    <n v="0.37777777777777799"/>
  </r>
  <r>
    <x v="3"/>
    <x v="7"/>
    <n v="17"/>
    <n v="81"/>
    <n v="98"/>
    <n v="0.17346938775510201"/>
  </r>
  <r>
    <x v="4"/>
    <x v="7"/>
    <n v="16"/>
    <n v="161"/>
    <n v="177"/>
    <n v="9.03954802259887E-2"/>
  </r>
  <r>
    <x v="5"/>
    <x v="7"/>
    <n v="54"/>
    <n v="217"/>
    <n v="271"/>
    <n v="0.199261992619926"/>
  </r>
  <r>
    <x v="6"/>
    <x v="7"/>
    <n v="84"/>
    <n v="291"/>
    <n v="375"/>
    <n v="0.224"/>
  </r>
  <r>
    <x v="7"/>
    <x v="7"/>
    <n v="354"/>
    <n v="358"/>
    <n v="712"/>
    <n v="0.49719101123595499"/>
  </r>
  <r>
    <x v="8"/>
    <x v="7"/>
    <n v="396"/>
    <n v="449"/>
    <n v="845"/>
    <n v="0.468639053254438"/>
  </r>
  <r>
    <x v="9"/>
    <x v="7"/>
    <n v="417"/>
    <n v="592"/>
    <n v="1009"/>
    <n v="0.41328047571853299"/>
  </r>
  <r>
    <x v="10"/>
    <x v="7"/>
    <n v="459"/>
    <n v="722"/>
    <n v="1181"/>
    <n v="0.38865368331922101"/>
  </r>
  <r>
    <x v="11"/>
    <x v="7"/>
    <n v="523"/>
    <n v="872"/>
    <n v="1395"/>
    <n v="0.37491039426523298"/>
  </r>
  <r>
    <x v="12"/>
    <x v="7"/>
    <n v="833"/>
    <n v="1127"/>
    <n v="1960"/>
    <n v="0.42499999999999999"/>
  </r>
  <r>
    <x v="13"/>
    <x v="7"/>
    <n v="1193"/>
    <n v="1578"/>
    <n v="2771"/>
    <n v="0.43053049440635199"/>
  </r>
  <r>
    <x v="14"/>
    <x v="7"/>
    <n v="1616"/>
    <n v="2029"/>
    <n v="3645"/>
    <n v="0.44334705075445802"/>
  </r>
  <r>
    <x v="15"/>
    <x v="7"/>
    <n v="2178"/>
    <n v="2787"/>
    <n v="4965"/>
    <n v="0.43867069486404803"/>
  </r>
  <r>
    <x v="16"/>
    <x v="7"/>
    <n v="2931"/>
    <n v="4156"/>
    <n v="7087"/>
    <n v="0.41357414985184099"/>
  </r>
  <r>
    <x v="17"/>
    <x v="7"/>
    <n v="4655"/>
    <n v="6777"/>
    <n v="11432"/>
    <n v="0.40719034289713102"/>
  </r>
  <r>
    <x v="18"/>
    <x v="7"/>
    <n v="6530"/>
    <n v="9167"/>
    <n v="15697"/>
    <n v="0.41600305790915498"/>
  </r>
  <r>
    <x v="19"/>
    <x v="7"/>
    <n v="8834"/>
    <n v="11964"/>
    <n v="20798"/>
    <n v="0.42475238003654198"/>
  </r>
  <r>
    <x v="0"/>
    <x v="8"/>
    <n v="22"/>
    <m/>
    <n v="22"/>
    <m/>
  </r>
  <r>
    <x v="1"/>
    <x v="8"/>
    <n v="22"/>
    <m/>
    <n v="22"/>
    <m/>
  </r>
  <r>
    <x v="2"/>
    <x v="8"/>
    <n v="20"/>
    <n v="162"/>
    <n v="182"/>
    <n v="0.10989010989011"/>
  </r>
  <r>
    <x v="3"/>
    <x v="8"/>
    <n v="17"/>
    <n v="365"/>
    <n v="382"/>
    <n v="4.4502617801047098E-2"/>
  </r>
  <r>
    <x v="4"/>
    <x v="8"/>
    <n v="15"/>
    <n v="651"/>
    <n v="666"/>
    <n v="2.2522522522522501E-2"/>
  </r>
  <r>
    <x v="5"/>
    <x v="8"/>
    <n v="18"/>
    <n v="941"/>
    <n v="959"/>
    <n v="1.8769551616266901E-2"/>
  </r>
  <r>
    <x v="6"/>
    <x v="8"/>
    <n v="36"/>
    <n v="1253"/>
    <n v="1289"/>
    <n v="2.7928626842513599E-2"/>
  </r>
  <r>
    <x v="7"/>
    <x v="8"/>
    <n v="110"/>
    <n v="1579"/>
    <n v="1689"/>
    <n v="6.5127294256956805E-2"/>
  </r>
  <r>
    <x v="8"/>
    <x v="8"/>
    <n v="137"/>
    <n v="2100"/>
    <n v="2237"/>
    <n v="6.1242735806884198E-2"/>
  </r>
  <r>
    <x v="9"/>
    <x v="8"/>
    <n v="208"/>
    <n v="2705"/>
    <n v="2913"/>
    <n v="7.1404050806728403E-2"/>
  </r>
  <r>
    <x v="10"/>
    <x v="8"/>
    <n v="337"/>
    <n v="3352"/>
    <n v="3689"/>
    <n v="9.1352670100298197E-2"/>
  </r>
  <r>
    <x v="11"/>
    <x v="8"/>
    <n v="541"/>
    <n v="4047"/>
    <n v="4588"/>
    <n v="0.11791630340017401"/>
  </r>
  <r>
    <x v="12"/>
    <x v="8"/>
    <n v="930"/>
    <n v="5068"/>
    <n v="5998"/>
    <n v="0.155051683894632"/>
  </r>
  <r>
    <x v="13"/>
    <x v="8"/>
    <n v="1532"/>
    <n v="7040"/>
    <n v="8572"/>
    <n v="0.178721418572095"/>
  </r>
  <r>
    <x v="14"/>
    <x v="8"/>
    <n v="2252"/>
    <n v="9453"/>
    <n v="11705"/>
    <n v="0.19239641178983299"/>
  </r>
  <r>
    <x v="15"/>
    <x v="8"/>
    <n v="3853"/>
    <n v="13114"/>
    <n v="16967"/>
    <n v="0.227087876466081"/>
  </r>
  <r>
    <x v="16"/>
    <x v="8"/>
    <n v="6245"/>
    <n v="19708"/>
    <n v="25953"/>
    <n v="0.24062728778946599"/>
  </r>
  <r>
    <x v="17"/>
    <x v="8"/>
    <n v="11591"/>
    <n v="29694"/>
    <n v="41285"/>
    <n v="0.28075572241734298"/>
  </r>
  <r>
    <x v="18"/>
    <x v="8"/>
    <n v="17805"/>
    <n v="40359"/>
    <n v="58164"/>
    <n v="0.30611718588817799"/>
  </r>
  <r>
    <x v="19"/>
    <x v="8"/>
    <n v="27745"/>
    <n v="52268"/>
    <n v="80013"/>
    <n v="0.34675615212527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14796-9891-4D45-AB38-6D6D500EB9CA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Federal State" fieldListSortAscending="1">
  <location ref="A31:D40" firstHeaderRow="0" firstDataRow="1" firstDataCol="1" rowPageCount="1" colPageCount="1"/>
  <pivotFields count="6">
    <pivotField axis="axisPage" multipleItemSelectionAllowed="1" showAll="0">
      <items count="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t="default"/>
      </items>
    </pivotField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dataField="1" showAll="0"/>
  </pivotFields>
  <rowFields count="1">
    <field x="1"/>
  </rowFields>
  <rowItems count="9">
    <i>
      <x v="3"/>
    </i>
    <i>
      <x v="7"/>
    </i>
    <i>
      <x v="4"/>
    </i>
    <i>
      <x/>
    </i>
    <i>
      <x v="2"/>
    </i>
    <i>
      <x v="5"/>
    </i>
    <i>
      <x v="6"/>
    </i>
    <i>
      <x v="8"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Electric" fld="2" baseField="1" baseItem="3" numFmtId="3"/>
    <dataField name="Hybrid " fld="3" baseField="1" baseItem="3" numFmtId="3"/>
    <dataField name="EV Share (%)" fld="5" subtotal="average" baseField="1" baseItem="3" numFmtId="169"/>
  </dataFields>
  <formats count="3"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7FB4E-524D-4C93-B06A-9EF3ADB15DBE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Year" fieldListSortAscending="1">
  <location ref="A5:D25" firstHeaderRow="0" firstDataRow="1" firstDataCol="1" rowPageCount="1" colPageCount="1"/>
  <pivotFields count="6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Page" multipleItemSelectionAllowed="1" showAll="0">
      <items count="10"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dataField="1" showAll="0"/>
    <pivotField dataField="1" showAll="0"/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Electric" fld="2" baseField="0" baseItem="0" numFmtId="3"/>
    <dataField name="Hybrid " fld="3" baseField="0" baseItem="0" numFmtId="3"/>
    <dataField name="EV Share (%)" fld="5" subtotal="average" baseField="0" baseItem="0"/>
  </dataFields>
  <formats count="3">
    <format dxfId="2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0" count="1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76D8E70-7440-4D4B-AEFA-29F69356BF97}" autoFormatId="16" applyNumberFormats="0" applyBorderFormats="0" applyFontFormats="0" applyPatternFormats="0" applyAlignmentFormats="0" applyWidthHeightFormats="0">
  <queryTableRefresh nextId="11">
    <queryTableFields count="10">
      <queryTableField id="1" name="NUTS1" tableColumnId="1"/>
      <queryTableField id="2" name="NUTS2" tableColumnId="2"/>
      <queryTableField id="3" name="NUTS3" tableColumnId="3"/>
      <queryTableField id="4" name="DISTRICT_CODE" tableColumnId="4"/>
      <queryTableField id="5" name="SUB_DISTRICT_CODE" tableColumnId="5"/>
      <queryTableField id="6" name="YEAR" tableColumnId="6"/>
      <queryTableField id="7" name="REF_YEAR" tableColumnId="7"/>
      <queryTableField id="8" name="FEDERAL_STATE" tableColumnId="8"/>
      <queryTableField id="9" name="ELECTRICITY" tableColumnId="9"/>
      <queryTableField id="10" name="HYBR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A878DD2-6BC6-4E8D-80E9-A90E357E674D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FEDERAL_STATE" tableColumnId="2"/>
      <queryTableField id="3" name="ELECTRICITY" tableColumnId="3"/>
      <queryTableField id="4" name="HYBRID" tableColumnId="4"/>
      <queryTableField id="5" name="TOTAL_ELECTRIFIED" tableColumnId="5"/>
      <queryTableField id="6" name="EV_SHAR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06E97C-0842-4B01-94B4-A7B1DD260B9C}" name="pkwelektrohybrid2023" displayName="pkwelektrohybrid2023" ref="A1:J181" tableType="queryTable" totalsRowShown="0">
  <autoFilter ref="A1:J181" xr:uid="{1106E97C-0842-4B01-94B4-A7B1DD260B9C}"/>
  <tableColumns count="10">
    <tableColumn id="1" xr3:uid="{5D0084A7-3437-4210-9FE0-5AC004C282F6}" uniqueName="1" name="NUTS1" queryTableFieldId="1" dataDxfId="10"/>
    <tableColumn id="2" xr3:uid="{04AE6178-E1D1-4C9A-BBDD-182D597E9050}" uniqueName="2" name="NUTS2" queryTableFieldId="2" dataDxfId="9"/>
    <tableColumn id="3" xr3:uid="{3D87D767-59DA-4C78-8C76-79A2AE6D7BDD}" uniqueName="3" name="NUTS3" queryTableFieldId="3" dataDxfId="8"/>
    <tableColumn id="4" xr3:uid="{0BE58294-2C3B-40AA-A438-C0EDF5173828}" uniqueName="4" name="DISTRICT_CODE" queryTableFieldId="4"/>
    <tableColumn id="5" xr3:uid="{8FD3F896-14F6-400A-850A-337D18477701}" uniqueName="5" name="SUB_DISTRICT_CODE" queryTableFieldId="5"/>
    <tableColumn id="6" xr3:uid="{CA180655-8FB2-4449-9C68-3F7903BF7654}" uniqueName="6" name="YEAR" queryTableFieldId="6"/>
    <tableColumn id="7" xr3:uid="{928F8215-9D56-49FF-9034-BC978720AF1F}" uniqueName="7" name="REF_YEAR" queryTableFieldId="7"/>
    <tableColumn id="8" xr3:uid="{8810473D-5037-476C-A2FD-B280CC472D9F}" uniqueName="8" name="FEDERAL_STATE" queryTableFieldId="8" dataDxfId="7"/>
    <tableColumn id="9" xr3:uid="{F36606FB-A2FE-4486-94E2-D58CB04D728E}" uniqueName="9" name="ELECTRICITY" queryTableFieldId="9"/>
    <tableColumn id="10" xr3:uid="{FE063E90-7379-4253-BF85-29EBF8308D48}" uniqueName="10" name="HYBRID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3B3C2E-397C-4B49-8169-4C841E6BC516}" name="pkwelektrohybrid2023__2" displayName="pkwelektrohybrid2023__2" ref="A1:F181" tableType="queryTable" totalsRowShown="0">
  <autoFilter ref="A1:F181" xr:uid="{673B3C2E-397C-4B49-8169-4C841E6BC516}"/>
  <tableColumns count="6">
    <tableColumn id="1" xr3:uid="{E159A4BC-887F-42B1-880C-4B8BEF790D9C}" uniqueName="1" name="YEAR" queryTableFieldId="1"/>
    <tableColumn id="2" xr3:uid="{F9EB3174-9041-4574-B28D-57D7FA97A900}" uniqueName="2" name="FEDERAL_STATE" queryTableFieldId="2" dataDxfId="12"/>
    <tableColumn id="3" xr3:uid="{5A48AE29-A778-41BD-BAB3-CC45CBB9B950}" uniqueName="3" name="ELECTRICITY" queryTableFieldId="3"/>
    <tableColumn id="4" xr3:uid="{F03F192F-1E70-47B2-82D1-1221A4CF865C}" uniqueName="4" name="HYBRID" queryTableFieldId="4"/>
    <tableColumn id="5" xr3:uid="{56BECF7B-1E70-44DA-AC18-8C6227B7474C}" uniqueName="5" name="TOTAL_ELECTRIFIED" queryTableFieldId="5"/>
    <tableColumn id="6" xr3:uid="{54E33B77-361D-4D18-88D4-C620673482BB}" uniqueName="6" name="EV_SHARE" queryTableFieldId="6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EBF9A5-81B4-4621-BE4D-B84B652F902C}" name="Table15" displayName="Table15" ref="E5:F25" totalsRowShown="0" headerRowDxfId="6" dataCellStyle="Percent">
  <autoFilter ref="E5:F25" xr:uid="{79EBF9A5-81B4-4621-BE4D-B84B652F902C}"/>
  <tableColumns count="2">
    <tableColumn id="1" xr3:uid="{4C01D825-95D7-41DF-BD37-7525D5C5D469}" name="EV YoY Growth" dataCellStyle="Percent"/>
    <tableColumn id="2" xr3:uid="{99834C5A-55BD-4F4E-87DE-F863D3DCEB04}" name="Hybrid YoY Growth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E249-6A37-4F89-A57B-9FA2C9AA3EAF}">
  <dimension ref="A1:J181"/>
  <sheetViews>
    <sheetView workbookViewId="0">
      <selection activeCell="K2" sqref="K2"/>
    </sheetView>
  </sheetViews>
  <sheetFormatPr defaultRowHeight="14.4" x14ac:dyDescent="0.3"/>
  <cols>
    <col min="1" max="3" width="8.77734375" bestFit="1" customWidth="1"/>
    <col min="4" max="4" width="16.44140625" bestFit="1" customWidth="1"/>
    <col min="5" max="5" width="20.77734375" bestFit="1" customWidth="1"/>
    <col min="6" max="6" width="7.44140625" bestFit="1" customWidth="1"/>
    <col min="7" max="7" width="11.33203125" bestFit="1" customWidth="1"/>
    <col min="8" max="8" width="16.44140625" bestFit="1" customWidth="1"/>
    <col min="9" max="9" width="13.5546875" bestFit="1" customWidth="1"/>
    <col min="10" max="10" width="9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</v>
      </c>
      <c r="E2">
        <v>0</v>
      </c>
      <c r="F2">
        <v>2004</v>
      </c>
      <c r="G2">
        <v>2023</v>
      </c>
      <c r="H2" t="s">
        <v>13</v>
      </c>
      <c r="I2">
        <v>1</v>
      </c>
    </row>
    <row r="3" spans="1:10" x14ac:dyDescent="0.3">
      <c r="A3" t="s">
        <v>10</v>
      </c>
      <c r="B3" t="s">
        <v>11</v>
      </c>
      <c r="C3" t="s">
        <v>12</v>
      </c>
      <c r="D3">
        <v>1</v>
      </c>
      <c r="E3">
        <v>0</v>
      </c>
      <c r="F3">
        <v>2005</v>
      </c>
      <c r="G3">
        <v>2023</v>
      </c>
      <c r="H3" t="s">
        <v>13</v>
      </c>
      <c r="I3">
        <v>1</v>
      </c>
    </row>
    <row r="4" spans="1:10" x14ac:dyDescent="0.3">
      <c r="A4" t="s">
        <v>10</v>
      </c>
      <c r="B4" t="s">
        <v>11</v>
      </c>
      <c r="C4" t="s">
        <v>12</v>
      </c>
      <c r="D4">
        <v>1</v>
      </c>
      <c r="E4">
        <v>0</v>
      </c>
      <c r="F4">
        <v>2006</v>
      </c>
      <c r="G4">
        <v>2023</v>
      </c>
      <c r="H4" t="s">
        <v>13</v>
      </c>
      <c r="I4">
        <v>1</v>
      </c>
      <c r="J4">
        <v>11</v>
      </c>
    </row>
    <row r="5" spans="1:10" x14ac:dyDescent="0.3">
      <c r="A5" t="s">
        <v>10</v>
      </c>
      <c r="B5" t="s">
        <v>11</v>
      </c>
      <c r="C5" t="s">
        <v>12</v>
      </c>
      <c r="D5">
        <v>1</v>
      </c>
      <c r="E5">
        <v>0</v>
      </c>
      <c r="F5">
        <v>2007</v>
      </c>
      <c r="G5">
        <v>2023</v>
      </c>
      <c r="H5" t="s">
        <v>13</v>
      </c>
      <c r="I5">
        <v>1</v>
      </c>
      <c r="J5">
        <v>37</v>
      </c>
    </row>
    <row r="6" spans="1:10" x14ac:dyDescent="0.3">
      <c r="A6" t="s">
        <v>10</v>
      </c>
      <c r="B6" t="s">
        <v>11</v>
      </c>
      <c r="C6" t="s">
        <v>12</v>
      </c>
      <c r="D6">
        <v>1</v>
      </c>
      <c r="E6">
        <v>0</v>
      </c>
      <c r="F6">
        <v>2008</v>
      </c>
      <c r="G6">
        <v>2023</v>
      </c>
      <c r="H6" t="s">
        <v>13</v>
      </c>
      <c r="I6">
        <v>1</v>
      </c>
      <c r="J6">
        <v>82</v>
      </c>
    </row>
    <row r="7" spans="1:10" x14ac:dyDescent="0.3">
      <c r="A7" t="s">
        <v>10</v>
      </c>
      <c r="B7" t="s">
        <v>11</v>
      </c>
      <c r="C7" t="s">
        <v>12</v>
      </c>
      <c r="D7">
        <v>1</v>
      </c>
      <c r="E7">
        <v>0</v>
      </c>
      <c r="F7">
        <v>2009</v>
      </c>
      <c r="G7">
        <v>2023</v>
      </c>
      <c r="H7" t="s">
        <v>13</v>
      </c>
      <c r="I7">
        <v>2</v>
      </c>
      <c r="J7">
        <v>112</v>
      </c>
    </row>
    <row r="8" spans="1:10" x14ac:dyDescent="0.3">
      <c r="A8" t="s">
        <v>10</v>
      </c>
      <c r="B8" t="s">
        <v>11</v>
      </c>
      <c r="C8" t="s">
        <v>12</v>
      </c>
      <c r="D8">
        <v>1</v>
      </c>
      <c r="E8">
        <v>0</v>
      </c>
      <c r="F8">
        <v>2010</v>
      </c>
      <c r="G8">
        <v>2023</v>
      </c>
      <c r="H8" t="s">
        <v>13</v>
      </c>
      <c r="I8">
        <v>5</v>
      </c>
      <c r="J8">
        <v>138</v>
      </c>
    </row>
    <row r="9" spans="1:10" x14ac:dyDescent="0.3">
      <c r="A9" t="s">
        <v>10</v>
      </c>
      <c r="B9" t="s">
        <v>11</v>
      </c>
      <c r="C9" t="s">
        <v>12</v>
      </c>
      <c r="D9">
        <v>1</v>
      </c>
      <c r="E9">
        <v>0</v>
      </c>
      <c r="F9">
        <v>2011</v>
      </c>
      <c r="G9">
        <v>2023</v>
      </c>
      <c r="H9" t="s">
        <v>13</v>
      </c>
      <c r="I9">
        <v>10</v>
      </c>
      <c r="J9">
        <v>153</v>
      </c>
    </row>
    <row r="10" spans="1:10" x14ac:dyDescent="0.3">
      <c r="A10" t="s">
        <v>10</v>
      </c>
      <c r="B10" t="s">
        <v>11</v>
      </c>
      <c r="C10" t="s">
        <v>12</v>
      </c>
      <c r="D10">
        <v>1</v>
      </c>
      <c r="E10">
        <v>0</v>
      </c>
      <c r="F10">
        <v>2012</v>
      </c>
      <c r="G10">
        <v>2023</v>
      </c>
      <c r="H10" t="s">
        <v>13</v>
      </c>
      <c r="I10">
        <v>19</v>
      </c>
      <c r="J10">
        <v>195</v>
      </c>
    </row>
    <row r="11" spans="1:10" x14ac:dyDescent="0.3">
      <c r="A11" t="s">
        <v>10</v>
      </c>
      <c r="B11" t="s">
        <v>11</v>
      </c>
      <c r="C11" t="s">
        <v>12</v>
      </c>
      <c r="D11">
        <v>1</v>
      </c>
      <c r="E11">
        <v>0</v>
      </c>
      <c r="F11">
        <v>2013</v>
      </c>
      <c r="G11">
        <v>2023</v>
      </c>
      <c r="H11" t="s">
        <v>13</v>
      </c>
      <c r="I11">
        <v>34</v>
      </c>
      <c r="J11">
        <v>259</v>
      </c>
    </row>
    <row r="12" spans="1:10" x14ac:dyDescent="0.3">
      <c r="A12" t="s">
        <v>10</v>
      </c>
      <c r="B12" t="s">
        <v>11</v>
      </c>
      <c r="C12" t="s">
        <v>12</v>
      </c>
      <c r="D12">
        <v>1</v>
      </c>
      <c r="E12">
        <v>0</v>
      </c>
      <c r="F12">
        <v>2014</v>
      </c>
      <c r="G12">
        <v>2023</v>
      </c>
      <c r="H12" t="s">
        <v>13</v>
      </c>
      <c r="I12">
        <v>55</v>
      </c>
      <c r="J12">
        <v>326</v>
      </c>
    </row>
    <row r="13" spans="1:10" x14ac:dyDescent="0.3">
      <c r="A13" t="s">
        <v>10</v>
      </c>
      <c r="B13" t="s">
        <v>11</v>
      </c>
      <c r="C13" t="s">
        <v>12</v>
      </c>
      <c r="D13">
        <v>1</v>
      </c>
      <c r="E13">
        <v>0</v>
      </c>
      <c r="F13">
        <v>2015</v>
      </c>
      <c r="G13">
        <v>2023</v>
      </c>
      <c r="H13" t="s">
        <v>13</v>
      </c>
      <c r="I13">
        <v>93</v>
      </c>
      <c r="J13">
        <v>396</v>
      </c>
    </row>
    <row r="14" spans="1:10" x14ac:dyDescent="0.3">
      <c r="A14" t="s">
        <v>10</v>
      </c>
      <c r="B14" t="s">
        <v>11</v>
      </c>
      <c r="C14" t="s">
        <v>12</v>
      </c>
      <c r="D14">
        <v>1</v>
      </c>
      <c r="E14">
        <v>0</v>
      </c>
      <c r="F14">
        <v>2016</v>
      </c>
      <c r="G14">
        <v>2023</v>
      </c>
      <c r="H14" t="s">
        <v>13</v>
      </c>
      <c r="I14">
        <v>188</v>
      </c>
      <c r="J14">
        <v>500</v>
      </c>
    </row>
    <row r="15" spans="1:10" x14ac:dyDescent="0.3">
      <c r="A15" t="s">
        <v>10</v>
      </c>
      <c r="B15" t="s">
        <v>11</v>
      </c>
      <c r="C15" t="s">
        <v>12</v>
      </c>
      <c r="D15">
        <v>1</v>
      </c>
      <c r="E15">
        <v>0</v>
      </c>
      <c r="F15">
        <v>2017</v>
      </c>
      <c r="G15">
        <v>2023</v>
      </c>
      <c r="H15" t="s">
        <v>13</v>
      </c>
      <c r="I15">
        <v>338</v>
      </c>
      <c r="J15">
        <v>732</v>
      </c>
    </row>
    <row r="16" spans="1:10" x14ac:dyDescent="0.3">
      <c r="A16" t="s">
        <v>10</v>
      </c>
      <c r="B16" t="s">
        <v>11</v>
      </c>
      <c r="C16" t="s">
        <v>12</v>
      </c>
      <c r="D16">
        <v>1</v>
      </c>
      <c r="E16">
        <v>0</v>
      </c>
      <c r="F16">
        <v>2018</v>
      </c>
      <c r="G16">
        <v>2023</v>
      </c>
      <c r="H16" t="s">
        <v>13</v>
      </c>
      <c r="I16">
        <v>490</v>
      </c>
      <c r="J16">
        <v>959</v>
      </c>
    </row>
    <row r="17" spans="1:10" x14ac:dyDescent="0.3">
      <c r="A17" t="s">
        <v>10</v>
      </c>
      <c r="B17" t="s">
        <v>11</v>
      </c>
      <c r="C17" t="s">
        <v>12</v>
      </c>
      <c r="D17">
        <v>1</v>
      </c>
      <c r="E17">
        <v>0</v>
      </c>
      <c r="F17">
        <v>2019</v>
      </c>
      <c r="G17">
        <v>2023</v>
      </c>
      <c r="H17" t="s">
        <v>13</v>
      </c>
      <c r="I17">
        <v>728</v>
      </c>
      <c r="J17">
        <v>1395</v>
      </c>
    </row>
    <row r="18" spans="1:10" x14ac:dyDescent="0.3">
      <c r="A18" t="s">
        <v>10</v>
      </c>
      <c r="B18" t="s">
        <v>11</v>
      </c>
      <c r="C18" t="s">
        <v>12</v>
      </c>
      <c r="D18">
        <v>1</v>
      </c>
      <c r="E18">
        <v>0</v>
      </c>
      <c r="F18">
        <v>2020</v>
      </c>
      <c r="G18">
        <v>2023</v>
      </c>
      <c r="H18" t="s">
        <v>13</v>
      </c>
      <c r="I18">
        <v>1151</v>
      </c>
      <c r="J18">
        <v>2327</v>
      </c>
    </row>
    <row r="19" spans="1:10" x14ac:dyDescent="0.3">
      <c r="A19" t="s">
        <v>10</v>
      </c>
      <c r="B19" t="s">
        <v>11</v>
      </c>
      <c r="C19" t="s">
        <v>12</v>
      </c>
      <c r="D19">
        <v>1</v>
      </c>
      <c r="E19">
        <v>0</v>
      </c>
      <c r="F19">
        <v>2021</v>
      </c>
      <c r="G19">
        <v>2023</v>
      </c>
      <c r="H19" t="s">
        <v>13</v>
      </c>
      <c r="I19">
        <v>2172</v>
      </c>
      <c r="J19">
        <v>3935</v>
      </c>
    </row>
    <row r="20" spans="1:10" x14ac:dyDescent="0.3">
      <c r="A20" t="s">
        <v>10</v>
      </c>
      <c r="B20" t="s">
        <v>11</v>
      </c>
      <c r="C20" t="s">
        <v>12</v>
      </c>
      <c r="D20">
        <v>1</v>
      </c>
      <c r="E20">
        <v>0</v>
      </c>
      <c r="F20">
        <v>2022</v>
      </c>
      <c r="G20">
        <v>2023</v>
      </c>
      <c r="H20" t="s">
        <v>13</v>
      </c>
      <c r="I20">
        <v>3420</v>
      </c>
      <c r="J20">
        <v>5570</v>
      </c>
    </row>
    <row r="21" spans="1:10" x14ac:dyDescent="0.3">
      <c r="A21" t="s">
        <v>10</v>
      </c>
      <c r="B21" t="s">
        <v>11</v>
      </c>
      <c r="C21" t="s">
        <v>12</v>
      </c>
      <c r="D21">
        <v>1</v>
      </c>
      <c r="E21">
        <v>0</v>
      </c>
      <c r="F21">
        <v>2023</v>
      </c>
      <c r="G21">
        <v>2023</v>
      </c>
      <c r="H21" t="s">
        <v>13</v>
      </c>
      <c r="I21">
        <v>4724</v>
      </c>
      <c r="J21">
        <v>7408</v>
      </c>
    </row>
    <row r="22" spans="1:10" x14ac:dyDescent="0.3">
      <c r="A22" t="s">
        <v>14</v>
      </c>
      <c r="B22" t="s">
        <v>15</v>
      </c>
      <c r="C22" t="s">
        <v>16</v>
      </c>
      <c r="D22">
        <v>2</v>
      </c>
      <c r="E22">
        <v>0</v>
      </c>
      <c r="F22">
        <v>2004</v>
      </c>
      <c r="G22">
        <v>2023</v>
      </c>
      <c r="H22" t="s">
        <v>17</v>
      </c>
      <c r="I22">
        <v>13</v>
      </c>
    </row>
    <row r="23" spans="1:10" x14ac:dyDescent="0.3">
      <c r="A23" t="s">
        <v>14</v>
      </c>
      <c r="B23" t="s">
        <v>15</v>
      </c>
      <c r="C23" t="s">
        <v>16</v>
      </c>
      <c r="D23">
        <v>2</v>
      </c>
      <c r="E23">
        <v>0</v>
      </c>
      <c r="F23">
        <v>2005</v>
      </c>
      <c r="G23">
        <v>2023</v>
      </c>
      <c r="H23" t="s">
        <v>17</v>
      </c>
      <c r="I23">
        <v>15</v>
      </c>
    </row>
    <row r="24" spans="1:10" x14ac:dyDescent="0.3">
      <c r="A24" t="s">
        <v>14</v>
      </c>
      <c r="B24" t="s">
        <v>15</v>
      </c>
      <c r="C24" t="s">
        <v>16</v>
      </c>
      <c r="D24">
        <v>2</v>
      </c>
      <c r="E24">
        <v>0</v>
      </c>
      <c r="F24">
        <v>2006</v>
      </c>
      <c r="G24">
        <v>2023</v>
      </c>
      <c r="H24" t="s">
        <v>17</v>
      </c>
      <c r="I24">
        <v>17</v>
      </c>
      <c r="J24">
        <v>23</v>
      </c>
    </row>
    <row r="25" spans="1:10" x14ac:dyDescent="0.3">
      <c r="A25" t="s">
        <v>14</v>
      </c>
      <c r="B25" t="s">
        <v>15</v>
      </c>
      <c r="C25" t="s">
        <v>16</v>
      </c>
      <c r="D25">
        <v>2</v>
      </c>
      <c r="E25">
        <v>0</v>
      </c>
      <c r="F25">
        <v>2007</v>
      </c>
      <c r="G25">
        <v>2023</v>
      </c>
      <c r="H25" t="s">
        <v>17</v>
      </c>
      <c r="I25">
        <v>17</v>
      </c>
      <c r="J25">
        <v>61</v>
      </c>
    </row>
    <row r="26" spans="1:10" x14ac:dyDescent="0.3">
      <c r="A26" t="s">
        <v>14</v>
      </c>
      <c r="B26" t="s">
        <v>15</v>
      </c>
      <c r="C26" t="s">
        <v>16</v>
      </c>
      <c r="D26">
        <v>2</v>
      </c>
      <c r="E26">
        <v>0</v>
      </c>
      <c r="F26">
        <v>2008</v>
      </c>
      <c r="G26">
        <v>2023</v>
      </c>
      <c r="H26" t="s">
        <v>17</v>
      </c>
      <c r="I26">
        <v>34</v>
      </c>
      <c r="J26">
        <v>116</v>
      </c>
    </row>
    <row r="27" spans="1:10" x14ac:dyDescent="0.3">
      <c r="A27" t="s">
        <v>14</v>
      </c>
      <c r="B27" t="s">
        <v>15</v>
      </c>
      <c r="C27" t="s">
        <v>16</v>
      </c>
      <c r="D27">
        <v>2</v>
      </c>
      <c r="E27">
        <v>0</v>
      </c>
      <c r="F27">
        <v>2009</v>
      </c>
      <c r="G27">
        <v>2023</v>
      </c>
      <c r="H27" t="s">
        <v>17</v>
      </c>
      <c r="I27">
        <v>46</v>
      </c>
      <c r="J27">
        <v>158</v>
      </c>
    </row>
    <row r="28" spans="1:10" x14ac:dyDescent="0.3">
      <c r="A28" t="s">
        <v>14</v>
      </c>
      <c r="B28" t="s">
        <v>15</v>
      </c>
      <c r="C28" t="s">
        <v>16</v>
      </c>
      <c r="D28">
        <v>2</v>
      </c>
      <c r="E28">
        <v>0</v>
      </c>
      <c r="F28">
        <v>2010</v>
      </c>
      <c r="G28">
        <v>2023</v>
      </c>
      <c r="H28" t="s">
        <v>17</v>
      </c>
      <c r="I28">
        <v>55</v>
      </c>
      <c r="J28">
        <v>216</v>
      </c>
    </row>
    <row r="29" spans="1:10" x14ac:dyDescent="0.3">
      <c r="A29" t="s">
        <v>14</v>
      </c>
      <c r="B29" t="s">
        <v>15</v>
      </c>
      <c r="C29" t="s">
        <v>16</v>
      </c>
      <c r="D29">
        <v>2</v>
      </c>
      <c r="E29">
        <v>0</v>
      </c>
      <c r="F29">
        <v>2011</v>
      </c>
      <c r="G29">
        <v>2023</v>
      </c>
      <c r="H29" t="s">
        <v>17</v>
      </c>
      <c r="I29">
        <v>99</v>
      </c>
      <c r="J29">
        <v>261</v>
      </c>
    </row>
    <row r="30" spans="1:10" x14ac:dyDescent="0.3">
      <c r="A30" t="s">
        <v>14</v>
      </c>
      <c r="B30" t="s">
        <v>15</v>
      </c>
      <c r="C30" t="s">
        <v>16</v>
      </c>
      <c r="D30">
        <v>2</v>
      </c>
      <c r="E30">
        <v>0</v>
      </c>
      <c r="F30">
        <v>2012</v>
      </c>
      <c r="G30">
        <v>2023</v>
      </c>
      <c r="H30" t="s">
        <v>17</v>
      </c>
      <c r="I30">
        <v>141</v>
      </c>
      <c r="J30">
        <v>358</v>
      </c>
    </row>
    <row r="31" spans="1:10" x14ac:dyDescent="0.3">
      <c r="A31" t="s">
        <v>14</v>
      </c>
      <c r="B31" t="s">
        <v>15</v>
      </c>
      <c r="C31" t="s">
        <v>16</v>
      </c>
      <c r="D31">
        <v>2</v>
      </c>
      <c r="E31">
        <v>0</v>
      </c>
      <c r="F31">
        <v>2013</v>
      </c>
      <c r="G31">
        <v>2023</v>
      </c>
      <c r="H31" t="s">
        <v>17</v>
      </c>
      <c r="I31">
        <v>203</v>
      </c>
      <c r="J31">
        <v>478</v>
      </c>
    </row>
    <row r="32" spans="1:10" x14ac:dyDescent="0.3">
      <c r="A32" t="s">
        <v>14</v>
      </c>
      <c r="B32" t="s">
        <v>15</v>
      </c>
      <c r="C32" t="s">
        <v>16</v>
      </c>
      <c r="D32">
        <v>2</v>
      </c>
      <c r="E32">
        <v>0</v>
      </c>
      <c r="F32">
        <v>2014</v>
      </c>
      <c r="G32">
        <v>2023</v>
      </c>
      <c r="H32" t="s">
        <v>17</v>
      </c>
      <c r="I32">
        <v>264</v>
      </c>
      <c r="J32">
        <v>611</v>
      </c>
    </row>
    <row r="33" spans="1:10" x14ac:dyDescent="0.3">
      <c r="A33" t="s">
        <v>14</v>
      </c>
      <c r="B33" t="s">
        <v>15</v>
      </c>
      <c r="C33" t="s">
        <v>16</v>
      </c>
      <c r="D33">
        <v>2</v>
      </c>
      <c r="E33">
        <v>0</v>
      </c>
      <c r="F33">
        <v>2015</v>
      </c>
      <c r="G33">
        <v>2023</v>
      </c>
      <c r="H33" t="s">
        <v>17</v>
      </c>
      <c r="I33">
        <v>341</v>
      </c>
      <c r="J33">
        <v>755</v>
      </c>
    </row>
    <row r="34" spans="1:10" x14ac:dyDescent="0.3">
      <c r="A34" t="s">
        <v>14</v>
      </c>
      <c r="B34" t="s">
        <v>15</v>
      </c>
      <c r="C34" t="s">
        <v>16</v>
      </c>
      <c r="D34">
        <v>2</v>
      </c>
      <c r="E34">
        <v>0</v>
      </c>
      <c r="F34">
        <v>2016</v>
      </c>
      <c r="G34">
        <v>2023</v>
      </c>
      <c r="H34" t="s">
        <v>17</v>
      </c>
      <c r="I34">
        <v>518</v>
      </c>
      <c r="J34">
        <v>963</v>
      </c>
    </row>
    <row r="35" spans="1:10" x14ac:dyDescent="0.3">
      <c r="A35" t="s">
        <v>14</v>
      </c>
      <c r="B35" t="s">
        <v>15</v>
      </c>
      <c r="C35" t="s">
        <v>16</v>
      </c>
      <c r="D35">
        <v>2</v>
      </c>
      <c r="E35">
        <v>0</v>
      </c>
      <c r="F35">
        <v>2017</v>
      </c>
      <c r="G35">
        <v>2023</v>
      </c>
      <c r="H35" t="s">
        <v>17</v>
      </c>
      <c r="I35">
        <v>805</v>
      </c>
      <c r="J35">
        <v>1302</v>
      </c>
    </row>
    <row r="36" spans="1:10" x14ac:dyDescent="0.3">
      <c r="A36" t="s">
        <v>14</v>
      </c>
      <c r="B36" t="s">
        <v>15</v>
      </c>
      <c r="C36" t="s">
        <v>16</v>
      </c>
      <c r="D36">
        <v>2</v>
      </c>
      <c r="E36">
        <v>0</v>
      </c>
      <c r="F36">
        <v>2018</v>
      </c>
      <c r="G36">
        <v>2023</v>
      </c>
      <c r="H36" t="s">
        <v>17</v>
      </c>
      <c r="I36">
        <v>1092</v>
      </c>
      <c r="J36">
        <v>1708</v>
      </c>
    </row>
    <row r="37" spans="1:10" x14ac:dyDescent="0.3">
      <c r="A37" t="s">
        <v>14</v>
      </c>
      <c r="B37" t="s">
        <v>15</v>
      </c>
      <c r="C37" t="s">
        <v>16</v>
      </c>
      <c r="D37">
        <v>2</v>
      </c>
      <c r="E37">
        <v>0</v>
      </c>
      <c r="F37">
        <v>2019</v>
      </c>
      <c r="G37">
        <v>2023</v>
      </c>
      <c r="H37" t="s">
        <v>17</v>
      </c>
      <c r="I37">
        <v>1492</v>
      </c>
      <c r="J37">
        <v>2585</v>
      </c>
    </row>
    <row r="38" spans="1:10" x14ac:dyDescent="0.3">
      <c r="A38" t="s">
        <v>14</v>
      </c>
      <c r="B38" t="s">
        <v>15</v>
      </c>
      <c r="C38" t="s">
        <v>16</v>
      </c>
      <c r="D38">
        <v>2</v>
      </c>
      <c r="E38">
        <v>0</v>
      </c>
      <c r="F38">
        <v>2020</v>
      </c>
      <c r="G38">
        <v>2023</v>
      </c>
      <c r="H38" t="s">
        <v>17</v>
      </c>
      <c r="I38">
        <v>2241</v>
      </c>
      <c r="J38">
        <v>4298</v>
      </c>
    </row>
    <row r="39" spans="1:10" x14ac:dyDescent="0.3">
      <c r="A39" t="s">
        <v>14</v>
      </c>
      <c r="B39" t="s">
        <v>15</v>
      </c>
      <c r="C39" t="s">
        <v>16</v>
      </c>
      <c r="D39">
        <v>2</v>
      </c>
      <c r="E39">
        <v>0</v>
      </c>
      <c r="F39">
        <v>2021</v>
      </c>
      <c r="G39">
        <v>2023</v>
      </c>
      <c r="H39" t="s">
        <v>17</v>
      </c>
      <c r="I39">
        <v>3703</v>
      </c>
      <c r="J39">
        <v>7579</v>
      </c>
    </row>
    <row r="40" spans="1:10" x14ac:dyDescent="0.3">
      <c r="A40" t="s">
        <v>14</v>
      </c>
      <c r="B40" t="s">
        <v>15</v>
      </c>
      <c r="C40" t="s">
        <v>16</v>
      </c>
      <c r="D40">
        <v>2</v>
      </c>
      <c r="E40">
        <v>0</v>
      </c>
      <c r="F40">
        <v>2022</v>
      </c>
      <c r="G40">
        <v>2023</v>
      </c>
      <c r="H40" t="s">
        <v>17</v>
      </c>
      <c r="I40">
        <v>5388</v>
      </c>
      <c r="J40">
        <v>10603</v>
      </c>
    </row>
    <row r="41" spans="1:10" x14ac:dyDescent="0.3">
      <c r="A41" t="s">
        <v>14</v>
      </c>
      <c r="B41" t="s">
        <v>15</v>
      </c>
      <c r="C41" t="s">
        <v>16</v>
      </c>
      <c r="D41">
        <v>2</v>
      </c>
      <c r="E41">
        <v>0</v>
      </c>
      <c r="F41">
        <v>2023</v>
      </c>
      <c r="G41">
        <v>2023</v>
      </c>
      <c r="H41" t="s">
        <v>17</v>
      </c>
      <c r="I41">
        <v>7644</v>
      </c>
      <c r="J41">
        <v>14501</v>
      </c>
    </row>
    <row r="42" spans="1:10" x14ac:dyDescent="0.3">
      <c r="A42" t="s">
        <v>10</v>
      </c>
      <c r="B42" t="s">
        <v>18</v>
      </c>
      <c r="C42" t="s">
        <v>19</v>
      </c>
      <c r="D42">
        <v>3</v>
      </c>
      <c r="E42">
        <v>0</v>
      </c>
      <c r="F42">
        <v>2004</v>
      </c>
      <c r="G42">
        <v>2023</v>
      </c>
      <c r="H42" t="s">
        <v>20</v>
      </c>
      <c r="I42">
        <v>40</v>
      </c>
    </row>
    <row r="43" spans="1:10" x14ac:dyDescent="0.3">
      <c r="A43" t="s">
        <v>10</v>
      </c>
      <c r="B43" t="s">
        <v>18</v>
      </c>
      <c r="C43" t="s">
        <v>19</v>
      </c>
      <c r="D43">
        <v>3</v>
      </c>
      <c r="E43">
        <v>0</v>
      </c>
      <c r="F43">
        <v>2005</v>
      </c>
      <c r="G43">
        <v>2023</v>
      </c>
      <c r="H43" t="s">
        <v>20</v>
      </c>
      <c r="I43">
        <v>46</v>
      </c>
    </row>
    <row r="44" spans="1:10" x14ac:dyDescent="0.3">
      <c r="A44" t="s">
        <v>10</v>
      </c>
      <c r="B44" t="s">
        <v>18</v>
      </c>
      <c r="C44" t="s">
        <v>19</v>
      </c>
      <c r="D44">
        <v>3</v>
      </c>
      <c r="E44">
        <v>0</v>
      </c>
      <c r="F44">
        <v>2006</v>
      </c>
      <c r="G44">
        <v>2023</v>
      </c>
      <c r="H44" t="s">
        <v>20</v>
      </c>
      <c r="I44">
        <v>49</v>
      </c>
      <c r="J44">
        <v>98</v>
      </c>
    </row>
    <row r="45" spans="1:10" x14ac:dyDescent="0.3">
      <c r="A45" t="s">
        <v>10</v>
      </c>
      <c r="B45" t="s">
        <v>18</v>
      </c>
      <c r="C45" t="s">
        <v>19</v>
      </c>
      <c r="D45">
        <v>3</v>
      </c>
      <c r="E45">
        <v>0</v>
      </c>
      <c r="F45">
        <v>2007</v>
      </c>
      <c r="G45">
        <v>2023</v>
      </c>
      <c r="H45" t="s">
        <v>20</v>
      </c>
      <c r="I45">
        <v>51</v>
      </c>
      <c r="J45">
        <v>263</v>
      </c>
    </row>
    <row r="46" spans="1:10" x14ac:dyDescent="0.3">
      <c r="A46" t="s">
        <v>10</v>
      </c>
      <c r="B46" t="s">
        <v>18</v>
      </c>
      <c r="C46" t="s">
        <v>19</v>
      </c>
      <c r="D46">
        <v>3</v>
      </c>
      <c r="E46">
        <v>0</v>
      </c>
      <c r="F46">
        <v>2008</v>
      </c>
      <c r="G46">
        <v>2023</v>
      </c>
      <c r="H46" t="s">
        <v>20</v>
      </c>
      <c r="I46">
        <v>52</v>
      </c>
      <c r="J46">
        <v>584</v>
      </c>
    </row>
    <row r="47" spans="1:10" x14ac:dyDescent="0.3">
      <c r="A47" t="s">
        <v>10</v>
      </c>
      <c r="B47" t="s">
        <v>18</v>
      </c>
      <c r="C47" t="s">
        <v>19</v>
      </c>
      <c r="D47">
        <v>3</v>
      </c>
      <c r="E47">
        <v>0</v>
      </c>
      <c r="F47">
        <v>2009</v>
      </c>
      <c r="G47">
        <v>2023</v>
      </c>
      <c r="H47" t="s">
        <v>20</v>
      </c>
      <c r="I47">
        <v>65</v>
      </c>
      <c r="J47">
        <v>775</v>
      </c>
    </row>
    <row r="48" spans="1:10" x14ac:dyDescent="0.3">
      <c r="A48" t="s">
        <v>10</v>
      </c>
      <c r="B48" t="s">
        <v>18</v>
      </c>
      <c r="C48" t="s">
        <v>19</v>
      </c>
      <c r="D48">
        <v>3</v>
      </c>
      <c r="E48">
        <v>0</v>
      </c>
      <c r="F48">
        <v>2010</v>
      </c>
      <c r="G48">
        <v>2023</v>
      </c>
      <c r="H48" t="s">
        <v>20</v>
      </c>
      <c r="I48">
        <v>78</v>
      </c>
      <c r="J48">
        <v>1042</v>
      </c>
    </row>
    <row r="49" spans="1:10" x14ac:dyDescent="0.3">
      <c r="A49" t="s">
        <v>10</v>
      </c>
      <c r="B49" t="s">
        <v>18</v>
      </c>
      <c r="C49" t="s">
        <v>19</v>
      </c>
      <c r="D49">
        <v>3</v>
      </c>
      <c r="E49">
        <v>0</v>
      </c>
      <c r="F49">
        <v>2011</v>
      </c>
      <c r="G49">
        <v>2023</v>
      </c>
      <c r="H49" t="s">
        <v>20</v>
      </c>
      <c r="I49">
        <v>128</v>
      </c>
      <c r="J49">
        <v>1295</v>
      </c>
    </row>
    <row r="50" spans="1:10" x14ac:dyDescent="0.3">
      <c r="A50" t="s">
        <v>10</v>
      </c>
      <c r="B50" t="s">
        <v>18</v>
      </c>
      <c r="C50" t="s">
        <v>19</v>
      </c>
      <c r="D50">
        <v>3</v>
      </c>
      <c r="E50">
        <v>0</v>
      </c>
      <c r="F50">
        <v>2012</v>
      </c>
      <c r="G50">
        <v>2023</v>
      </c>
      <c r="H50" t="s">
        <v>20</v>
      </c>
      <c r="I50">
        <v>207</v>
      </c>
      <c r="J50">
        <v>1656</v>
      </c>
    </row>
    <row r="51" spans="1:10" x14ac:dyDescent="0.3">
      <c r="A51" t="s">
        <v>10</v>
      </c>
      <c r="B51" t="s">
        <v>18</v>
      </c>
      <c r="C51" t="s">
        <v>19</v>
      </c>
      <c r="D51">
        <v>3</v>
      </c>
      <c r="E51">
        <v>0</v>
      </c>
      <c r="F51">
        <v>2013</v>
      </c>
      <c r="G51">
        <v>2023</v>
      </c>
      <c r="H51" t="s">
        <v>20</v>
      </c>
      <c r="I51">
        <v>368</v>
      </c>
      <c r="J51">
        <v>2100</v>
      </c>
    </row>
    <row r="52" spans="1:10" x14ac:dyDescent="0.3">
      <c r="A52" t="s">
        <v>10</v>
      </c>
      <c r="B52" t="s">
        <v>18</v>
      </c>
      <c r="C52" t="s">
        <v>19</v>
      </c>
      <c r="D52">
        <v>3</v>
      </c>
      <c r="E52">
        <v>0</v>
      </c>
      <c r="F52">
        <v>2014</v>
      </c>
      <c r="G52">
        <v>2023</v>
      </c>
      <c r="H52" t="s">
        <v>20</v>
      </c>
      <c r="I52">
        <v>731</v>
      </c>
      <c r="J52">
        <v>2561</v>
      </c>
    </row>
    <row r="53" spans="1:10" x14ac:dyDescent="0.3">
      <c r="A53" t="s">
        <v>10</v>
      </c>
      <c r="B53" t="s">
        <v>18</v>
      </c>
      <c r="C53" t="s">
        <v>19</v>
      </c>
      <c r="D53">
        <v>3</v>
      </c>
      <c r="E53">
        <v>0</v>
      </c>
      <c r="F53">
        <v>2015</v>
      </c>
      <c r="G53">
        <v>2023</v>
      </c>
      <c r="H53" t="s">
        <v>20</v>
      </c>
      <c r="I53">
        <v>1157</v>
      </c>
      <c r="J53">
        <v>3163</v>
      </c>
    </row>
    <row r="54" spans="1:10" x14ac:dyDescent="0.3">
      <c r="A54" t="s">
        <v>10</v>
      </c>
      <c r="B54" t="s">
        <v>18</v>
      </c>
      <c r="C54" t="s">
        <v>19</v>
      </c>
      <c r="D54">
        <v>3</v>
      </c>
      <c r="E54">
        <v>0</v>
      </c>
      <c r="F54">
        <v>2016</v>
      </c>
      <c r="G54">
        <v>2023</v>
      </c>
      <c r="H54" t="s">
        <v>20</v>
      </c>
      <c r="I54">
        <v>2058</v>
      </c>
      <c r="J54">
        <v>4032</v>
      </c>
    </row>
    <row r="55" spans="1:10" x14ac:dyDescent="0.3">
      <c r="A55" t="s">
        <v>10</v>
      </c>
      <c r="B55" t="s">
        <v>18</v>
      </c>
      <c r="C55" t="s">
        <v>19</v>
      </c>
      <c r="D55">
        <v>3</v>
      </c>
      <c r="E55">
        <v>0</v>
      </c>
      <c r="F55">
        <v>2017</v>
      </c>
      <c r="G55">
        <v>2023</v>
      </c>
      <c r="H55" t="s">
        <v>20</v>
      </c>
      <c r="I55">
        <v>3290</v>
      </c>
      <c r="J55">
        <v>5479</v>
      </c>
    </row>
    <row r="56" spans="1:10" x14ac:dyDescent="0.3">
      <c r="A56" t="s">
        <v>10</v>
      </c>
      <c r="B56" t="s">
        <v>18</v>
      </c>
      <c r="C56" t="s">
        <v>19</v>
      </c>
      <c r="D56">
        <v>3</v>
      </c>
      <c r="E56">
        <v>0</v>
      </c>
      <c r="F56">
        <v>2018</v>
      </c>
      <c r="G56">
        <v>2023</v>
      </c>
      <c r="H56" t="s">
        <v>20</v>
      </c>
      <c r="I56">
        <v>4750</v>
      </c>
      <c r="J56">
        <v>7229</v>
      </c>
    </row>
    <row r="57" spans="1:10" x14ac:dyDescent="0.3">
      <c r="A57" t="s">
        <v>10</v>
      </c>
      <c r="B57" t="s">
        <v>18</v>
      </c>
      <c r="C57" t="s">
        <v>19</v>
      </c>
      <c r="D57">
        <v>3</v>
      </c>
      <c r="E57">
        <v>0</v>
      </c>
      <c r="F57">
        <v>2019</v>
      </c>
      <c r="G57">
        <v>2023</v>
      </c>
      <c r="H57" t="s">
        <v>20</v>
      </c>
      <c r="I57">
        <v>6378</v>
      </c>
      <c r="J57">
        <v>10292</v>
      </c>
    </row>
    <row r="58" spans="1:10" x14ac:dyDescent="0.3">
      <c r="A58" t="s">
        <v>10</v>
      </c>
      <c r="B58" t="s">
        <v>18</v>
      </c>
      <c r="C58" t="s">
        <v>19</v>
      </c>
      <c r="D58">
        <v>3</v>
      </c>
      <c r="E58">
        <v>0</v>
      </c>
      <c r="F58">
        <v>2020</v>
      </c>
      <c r="G58">
        <v>2023</v>
      </c>
      <c r="H58" t="s">
        <v>20</v>
      </c>
      <c r="I58">
        <v>9369</v>
      </c>
      <c r="J58">
        <v>16606</v>
      </c>
    </row>
    <row r="59" spans="1:10" x14ac:dyDescent="0.3">
      <c r="A59" t="s">
        <v>10</v>
      </c>
      <c r="B59" t="s">
        <v>18</v>
      </c>
      <c r="C59" t="s">
        <v>19</v>
      </c>
      <c r="D59">
        <v>3</v>
      </c>
      <c r="E59">
        <v>0</v>
      </c>
      <c r="F59">
        <v>2021</v>
      </c>
      <c r="G59">
        <v>2023</v>
      </c>
      <c r="H59" t="s">
        <v>20</v>
      </c>
      <c r="I59">
        <v>15377</v>
      </c>
      <c r="J59">
        <v>26998</v>
      </c>
    </row>
    <row r="60" spans="1:10" x14ac:dyDescent="0.3">
      <c r="A60" t="s">
        <v>10</v>
      </c>
      <c r="B60" t="s">
        <v>18</v>
      </c>
      <c r="C60" t="s">
        <v>19</v>
      </c>
      <c r="D60">
        <v>3</v>
      </c>
      <c r="E60">
        <v>0</v>
      </c>
      <c r="F60">
        <v>2022</v>
      </c>
      <c r="G60">
        <v>2023</v>
      </c>
      <c r="H60" t="s">
        <v>20</v>
      </c>
      <c r="I60">
        <v>21665</v>
      </c>
      <c r="J60">
        <v>37056</v>
      </c>
    </row>
    <row r="61" spans="1:10" x14ac:dyDescent="0.3">
      <c r="A61" t="s">
        <v>10</v>
      </c>
      <c r="B61" t="s">
        <v>18</v>
      </c>
      <c r="C61" t="s">
        <v>19</v>
      </c>
      <c r="D61">
        <v>3</v>
      </c>
      <c r="E61">
        <v>0</v>
      </c>
      <c r="F61">
        <v>2023</v>
      </c>
      <c r="G61">
        <v>2023</v>
      </c>
      <c r="H61" t="s">
        <v>20</v>
      </c>
      <c r="I61">
        <v>30073</v>
      </c>
      <c r="J61">
        <v>48932</v>
      </c>
    </row>
    <row r="62" spans="1:10" x14ac:dyDescent="0.3">
      <c r="A62" t="s">
        <v>21</v>
      </c>
      <c r="B62" t="s">
        <v>22</v>
      </c>
      <c r="C62" t="s">
        <v>23</v>
      </c>
      <c r="D62">
        <v>4</v>
      </c>
      <c r="E62">
        <v>0</v>
      </c>
      <c r="F62">
        <v>2004</v>
      </c>
      <c r="G62">
        <v>2023</v>
      </c>
      <c r="H62" t="s">
        <v>24</v>
      </c>
      <c r="I62">
        <v>8</v>
      </c>
    </row>
    <row r="63" spans="1:10" x14ac:dyDescent="0.3">
      <c r="A63" t="s">
        <v>21</v>
      </c>
      <c r="B63" t="s">
        <v>22</v>
      </c>
      <c r="C63" t="s">
        <v>23</v>
      </c>
      <c r="D63">
        <v>4</v>
      </c>
      <c r="E63">
        <v>0</v>
      </c>
      <c r="F63">
        <v>2005</v>
      </c>
      <c r="G63">
        <v>2023</v>
      </c>
      <c r="H63" t="s">
        <v>24</v>
      </c>
      <c r="I63">
        <v>4</v>
      </c>
    </row>
    <row r="64" spans="1:10" x14ac:dyDescent="0.3">
      <c r="A64" t="s">
        <v>21</v>
      </c>
      <c r="B64" t="s">
        <v>22</v>
      </c>
      <c r="C64" t="s">
        <v>23</v>
      </c>
      <c r="D64">
        <v>4</v>
      </c>
      <c r="E64">
        <v>0</v>
      </c>
      <c r="F64">
        <v>2006</v>
      </c>
      <c r="G64">
        <v>2023</v>
      </c>
      <c r="H64" t="s">
        <v>24</v>
      </c>
      <c r="I64">
        <v>6</v>
      </c>
      <c r="J64">
        <v>56</v>
      </c>
    </row>
    <row r="65" spans="1:10" x14ac:dyDescent="0.3">
      <c r="A65" t="s">
        <v>21</v>
      </c>
      <c r="B65" t="s">
        <v>22</v>
      </c>
      <c r="C65" t="s">
        <v>23</v>
      </c>
      <c r="D65">
        <v>4</v>
      </c>
      <c r="E65">
        <v>0</v>
      </c>
      <c r="F65">
        <v>2007</v>
      </c>
      <c r="G65">
        <v>2023</v>
      </c>
      <c r="H65" t="s">
        <v>24</v>
      </c>
      <c r="I65">
        <v>9</v>
      </c>
      <c r="J65">
        <v>158</v>
      </c>
    </row>
    <row r="66" spans="1:10" x14ac:dyDescent="0.3">
      <c r="A66" t="s">
        <v>21</v>
      </c>
      <c r="B66" t="s">
        <v>22</v>
      </c>
      <c r="C66" t="s">
        <v>23</v>
      </c>
      <c r="D66">
        <v>4</v>
      </c>
      <c r="E66">
        <v>0</v>
      </c>
      <c r="F66">
        <v>2008</v>
      </c>
      <c r="G66">
        <v>2023</v>
      </c>
      <c r="H66" t="s">
        <v>24</v>
      </c>
      <c r="I66">
        <v>9</v>
      </c>
      <c r="J66">
        <v>362</v>
      </c>
    </row>
    <row r="67" spans="1:10" x14ac:dyDescent="0.3">
      <c r="A67" t="s">
        <v>21</v>
      </c>
      <c r="B67" t="s">
        <v>22</v>
      </c>
      <c r="C67" t="s">
        <v>23</v>
      </c>
      <c r="D67">
        <v>4</v>
      </c>
      <c r="E67">
        <v>0</v>
      </c>
      <c r="F67">
        <v>2009</v>
      </c>
      <c r="G67">
        <v>2023</v>
      </c>
      <c r="H67" t="s">
        <v>24</v>
      </c>
      <c r="I67">
        <v>11</v>
      </c>
      <c r="J67">
        <v>513</v>
      </c>
    </row>
    <row r="68" spans="1:10" x14ac:dyDescent="0.3">
      <c r="A68" t="s">
        <v>21</v>
      </c>
      <c r="B68" t="s">
        <v>22</v>
      </c>
      <c r="C68" t="s">
        <v>23</v>
      </c>
      <c r="D68">
        <v>4</v>
      </c>
      <c r="E68">
        <v>0</v>
      </c>
      <c r="F68">
        <v>2010</v>
      </c>
      <c r="G68">
        <v>2023</v>
      </c>
      <c r="H68" t="s">
        <v>24</v>
      </c>
      <c r="I68">
        <v>19</v>
      </c>
      <c r="J68">
        <v>708</v>
      </c>
    </row>
    <row r="69" spans="1:10" x14ac:dyDescent="0.3">
      <c r="A69" t="s">
        <v>21</v>
      </c>
      <c r="B69" t="s">
        <v>22</v>
      </c>
      <c r="C69" t="s">
        <v>23</v>
      </c>
      <c r="D69">
        <v>4</v>
      </c>
      <c r="E69">
        <v>0</v>
      </c>
      <c r="F69">
        <v>2011</v>
      </c>
      <c r="G69">
        <v>2023</v>
      </c>
      <c r="H69" t="s">
        <v>24</v>
      </c>
      <c r="I69">
        <v>63</v>
      </c>
      <c r="J69">
        <v>922</v>
      </c>
    </row>
    <row r="70" spans="1:10" x14ac:dyDescent="0.3">
      <c r="A70" t="s">
        <v>21</v>
      </c>
      <c r="B70" t="s">
        <v>22</v>
      </c>
      <c r="C70" t="s">
        <v>23</v>
      </c>
      <c r="D70">
        <v>4</v>
      </c>
      <c r="E70">
        <v>0</v>
      </c>
      <c r="F70">
        <v>2012</v>
      </c>
      <c r="G70">
        <v>2023</v>
      </c>
      <c r="H70" t="s">
        <v>24</v>
      </c>
      <c r="I70">
        <v>126</v>
      </c>
      <c r="J70">
        <v>1259</v>
      </c>
    </row>
    <row r="71" spans="1:10" x14ac:dyDescent="0.3">
      <c r="A71" t="s">
        <v>21</v>
      </c>
      <c r="B71" t="s">
        <v>22</v>
      </c>
      <c r="C71" t="s">
        <v>23</v>
      </c>
      <c r="D71">
        <v>4</v>
      </c>
      <c r="E71">
        <v>0</v>
      </c>
      <c r="F71">
        <v>2013</v>
      </c>
      <c r="G71">
        <v>2023</v>
      </c>
      <c r="H71" t="s">
        <v>24</v>
      </c>
      <c r="I71">
        <v>254</v>
      </c>
      <c r="J71">
        <v>1629</v>
      </c>
    </row>
    <row r="72" spans="1:10" x14ac:dyDescent="0.3">
      <c r="A72" t="s">
        <v>21</v>
      </c>
      <c r="B72" t="s">
        <v>22</v>
      </c>
      <c r="C72" t="s">
        <v>23</v>
      </c>
      <c r="D72">
        <v>4</v>
      </c>
      <c r="E72">
        <v>0</v>
      </c>
      <c r="F72">
        <v>2014</v>
      </c>
      <c r="G72">
        <v>2023</v>
      </c>
      <c r="H72" t="s">
        <v>24</v>
      </c>
      <c r="I72">
        <v>471</v>
      </c>
      <c r="J72">
        <v>1943</v>
      </c>
    </row>
    <row r="73" spans="1:10" x14ac:dyDescent="0.3">
      <c r="A73" t="s">
        <v>21</v>
      </c>
      <c r="B73" t="s">
        <v>22</v>
      </c>
      <c r="C73" t="s">
        <v>23</v>
      </c>
      <c r="D73">
        <v>4</v>
      </c>
      <c r="E73">
        <v>0</v>
      </c>
      <c r="F73">
        <v>2015</v>
      </c>
      <c r="G73">
        <v>2023</v>
      </c>
      <c r="H73" t="s">
        <v>24</v>
      </c>
      <c r="I73">
        <v>799</v>
      </c>
      <c r="J73">
        <v>2315</v>
      </c>
    </row>
    <row r="74" spans="1:10" x14ac:dyDescent="0.3">
      <c r="A74" t="s">
        <v>21</v>
      </c>
      <c r="B74" t="s">
        <v>22</v>
      </c>
      <c r="C74" t="s">
        <v>23</v>
      </c>
      <c r="D74">
        <v>4</v>
      </c>
      <c r="E74">
        <v>0</v>
      </c>
      <c r="F74">
        <v>2016</v>
      </c>
      <c r="G74">
        <v>2023</v>
      </c>
      <c r="H74" t="s">
        <v>24</v>
      </c>
      <c r="I74">
        <v>1579</v>
      </c>
      <c r="J74">
        <v>2967</v>
      </c>
    </row>
    <row r="75" spans="1:10" x14ac:dyDescent="0.3">
      <c r="A75" t="s">
        <v>21</v>
      </c>
      <c r="B75" t="s">
        <v>22</v>
      </c>
      <c r="C75" t="s">
        <v>23</v>
      </c>
      <c r="D75">
        <v>4</v>
      </c>
      <c r="E75">
        <v>0</v>
      </c>
      <c r="F75">
        <v>2017</v>
      </c>
      <c r="G75">
        <v>2023</v>
      </c>
      <c r="H75" t="s">
        <v>24</v>
      </c>
      <c r="I75">
        <v>2598</v>
      </c>
      <c r="J75">
        <v>3966</v>
      </c>
    </row>
    <row r="76" spans="1:10" x14ac:dyDescent="0.3">
      <c r="A76" t="s">
        <v>21</v>
      </c>
      <c r="B76" t="s">
        <v>22</v>
      </c>
      <c r="C76" t="s">
        <v>23</v>
      </c>
      <c r="D76">
        <v>4</v>
      </c>
      <c r="E76">
        <v>0</v>
      </c>
      <c r="F76">
        <v>2018</v>
      </c>
      <c r="G76">
        <v>2023</v>
      </c>
      <c r="H76" t="s">
        <v>24</v>
      </c>
      <c r="I76">
        <v>3733</v>
      </c>
      <c r="J76">
        <v>5210</v>
      </c>
    </row>
    <row r="77" spans="1:10" x14ac:dyDescent="0.3">
      <c r="A77" t="s">
        <v>21</v>
      </c>
      <c r="B77" t="s">
        <v>22</v>
      </c>
      <c r="C77" t="s">
        <v>23</v>
      </c>
      <c r="D77">
        <v>4</v>
      </c>
      <c r="E77">
        <v>0</v>
      </c>
      <c r="F77">
        <v>2019</v>
      </c>
      <c r="G77">
        <v>2023</v>
      </c>
      <c r="H77" t="s">
        <v>24</v>
      </c>
      <c r="I77">
        <v>5358</v>
      </c>
      <c r="J77">
        <v>7523</v>
      </c>
    </row>
    <row r="78" spans="1:10" x14ac:dyDescent="0.3">
      <c r="A78" t="s">
        <v>21</v>
      </c>
      <c r="B78" t="s">
        <v>22</v>
      </c>
      <c r="C78" t="s">
        <v>23</v>
      </c>
      <c r="D78">
        <v>4</v>
      </c>
      <c r="E78">
        <v>0</v>
      </c>
      <c r="F78">
        <v>2020</v>
      </c>
      <c r="G78">
        <v>2023</v>
      </c>
      <c r="H78" t="s">
        <v>24</v>
      </c>
      <c r="I78">
        <v>8229</v>
      </c>
      <c r="J78">
        <v>12663</v>
      </c>
    </row>
    <row r="79" spans="1:10" x14ac:dyDescent="0.3">
      <c r="A79" t="s">
        <v>21</v>
      </c>
      <c r="B79" t="s">
        <v>22</v>
      </c>
      <c r="C79" t="s">
        <v>23</v>
      </c>
      <c r="D79">
        <v>4</v>
      </c>
      <c r="E79">
        <v>0</v>
      </c>
      <c r="F79">
        <v>2021</v>
      </c>
      <c r="G79">
        <v>2023</v>
      </c>
      <c r="H79" t="s">
        <v>24</v>
      </c>
      <c r="I79">
        <v>15141</v>
      </c>
      <c r="J79">
        <v>21649</v>
      </c>
    </row>
    <row r="80" spans="1:10" x14ac:dyDescent="0.3">
      <c r="A80" t="s">
        <v>21</v>
      </c>
      <c r="B80" t="s">
        <v>22</v>
      </c>
      <c r="C80" t="s">
        <v>23</v>
      </c>
      <c r="D80">
        <v>4</v>
      </c>
      <c r="E80">
        <v>0</v>
      </c>
      <c r="F80">
        <v>2022</v>
      </c>
      <c r="G80">
        <v>2023</v>
      </c>
      <c r="H80" t="s">
        <v>24</v>
      </c>
      <c r="I80">
        <v>21746</v>
      </c>
      <c r="J80">
        <v>30551</v>
      </c>
    </row>
    <row r="81" spans="1:10" x14ac:dyDescent="0.3">
      <c r="A81" t="s">
        <v>21</v>
      </c>
      <c r="B81" t="s">
        <v>22</v>
      </c>
      <c r="C81" t="s">
        <v>23</v>
      </c>
      <c r="D81">
        <v>4</v>
      </c>
      <c r="E81">
        <v>0</v>
      </c>
      <c r="F81">
        <v>2023</v>
      </c>
      <c r="G81">
        <v>2023</v>
      </c>
      <c r="H81" t="s">
        <v>24</v>
      </c>
      <c r="I81">
        <v>30291</v>
      </c>
      <c r="J81">
        <v>40680</v>
      </c>
    </row>
    <row r="82" spans="1:10" x14ac:dyDescent="0.3">
      <c r="A82" t="s">
        <v>21</v>
      </c>
      <c r="B82" t="s">
        <v>25</v>
      </c>
      <c r="C82" t="s">
        <v>26</v>
      </c>
      <c r="D82">
        <v>5</v>
      </c>
      <c r="E82">
        <v>0</v>
      </c>
      <c r="F82">
        <v>2004</v>
      </c>
      <c r="G82">
        <v>2023</v>
      </c>
      <c r="H82" t="s">
        <v>27</v>
      </c>
      <c r="I82">
        <v>9</v>
      </c>
    </row>
    <row r="83" spans="1:10" x14ac:dyDescent="0.3">
      <c r="A83" t="s">
        <v>21</v>
      </c>
      <c r="B83" t="s">
        <v>25</v>
      </c>
      <c r="C83" t="s">
        <v>26</v>
      </c>
      <c r="D83">
        <v>5</v>
      </c>
      <c r="E83">
        <v>0</v>
      </c>
      <c r="F83">
        <v>2005</v>
      </c>
      <c r="G83">
        <v>2023</v>
      </c>
      <c r="H83" t="s">
        <v>27</v>
      </c>
      <c r="I83">
        <v>7</v>
      </c>
    </row>
    <row r="84" spans="1:10" x14ac:dyDescent="0.3">
      <c r="A84" t="s">
        <v>21</v>
      </c>
      <c r="B84" t="s">
        <v>25</v>
      </c>
      <c r="C84" t="s">
        <v>26</v>
      </c>
      <c r="D84">
        <v>5</v>
      </c>
      <c r="E84">
        <v>0</v>
      </c>
      <c r="F84">
        <v>2006</v>
      </c>
      <c r="G84">
        <v>2023</v>
      </c>
      <c r="H84" t="s">
        <v>27</v>
      </c>
      <c r="I84">
        <v>3</v>
      </c>
      <c r="J84">
        <v>22</v>
      </c>
    </row>
    <row r="85" spans="1:10" x14ac:dyDescent="0.3">
      <c r="A85" t="s">
        <v>21</v>
      </c>
      <c r="B85" t="s">
        <v>25</v>
      </c>
      <c r="C85" t="s">
        <v>26</v>
      </c>
      <c r="D85">
        <v>5</v>
      </c>
      <c r="E85">
        <v>0</v>
      </c>
      <c r="F85">
        <v>2007</v>
      </c>
      <c r="G85">
        <v>2023</v>
      </c>
      <c r="H85" t="s">
        <v>27</v>
      </c>
      <c r="I85">
        <v>3</v>
      </c>
      <c r="J85">
        <v>73</v>
      </c>
    </row>
    <row r="86" spans="1:10" x14ac:dyDescent="0.3">
      <c r="A86" t="s">
        <v>21</v>
      </c>
      <c r="B86" t="s">
        <v>25</v>
      </c>
      <c r="C86" t="s">
        <v>26</v>
      </c>
      <c r="D86">
        <v>5</v>
      </c>
      <c r="E86">
        <v>0</v>
      </c>
      <c r="F86">
        <v>2008</v>
      </c>
      <c r="G86">
        <v>2023</v>
      </c>
      <c r="H86" t="s">
        <v>27</v>
      </c>
      <c r="I86">
        <v>2</v>
      </c>
      <c r="J86">
        <v>147</v>
      </c>
    </row>
    <row r="87" spans="1:10" x14ac:dyDescent="0.3">
      <c r="A87" t="s">
        <v>21</v>
      </c>
      <c r="B87" t="s">
        <v>25</v>
      </c>
      <c r="C87" t="s">
        <v>26</v>
      </c>
      <c r="D87">
        <v>5</v>
      </c>
      <c r="E87">
        <v>0</v>
      </c>
      <c r="F87">
        <v>2009</v>
      </c>
      <c r="G87">
        <v>2023</v>
      </c>
      <c r="H87" t="s">
        <v>27</v>
      </c>
      <c r="I87">
        <v>4</v>
      </c>
      <c r="J87">
        <v>202</v>
      </c>
    </row>
    <row r="88" spans="1:10" x14ac:dyDescent="0.3">
      <c r="A88" t="s">
        <v>21</v>
      </c>
      <c r="B88" t="s">
        <v>25</v>
      </c>
      <c r="C88" t="s">
        <v>26</v>
      </c>
      <c r="D88">
        <v>5</v>
      </c>
      <c r="E88">
        <v>0</v>
      </c>
      <c r="F88">
        <v>2010</v>
      </c>
      <c r="G88">
        <v>2023</v>
      </c>
      <c r="H88" t="s">
        <v>27</v>
      </c>
      <c r="I88">
        <v>44</v>
      </c>
      <c r="J88">
        <v>278</v>
      </c>
    </row>
    <row r="89" spans="1:10" x14ac:dyDescent="0.3">
      <c r="A89" t="s">
        <v>21</v>
      </c>
      <c r="B89" t="s">
        <v>25</v>
      </c>
      <c r="C89" t="s">
        <v>26</v>
      </c>
      <c r="D89">
        <v>5</v>
      </c>
      <c r="E89">
        <v>0</v>
      </c>
      <c r="F89">
        <v>2011</v>
      </c>
      <c r="G89">
        <v>2023</v>
      </c>
      <c r="H89" t="s">
        <v>27</v>
      </c>
      <c r="I89">
        <v>142</v>
      </c>
      <c r="J89">
        <v>374</v>
      </c>
    </row>
    <row r="90" spans="1:10" x14ac:dyDescent="0.3">
      <c r="A90" t="s">
        <v>21</v>
      </c>
      <c r="B90" t="s">
        <v>25</v>
      </c>
      <c r="C90" t="s">
        <v>26</v>
      </c>
      <c r="D90">
        <v>5</v>
      </c>
      <c r="E90">
        <v>0</v>
      </c>
      <c r="F90">
        <v>2012</v>
      </c>
      <c r="G90">
        <v>2023</v>
      </c>
      <c r="H90" t="s">
        <v>27</v>
      </c>
      <c r="I90">
        <v>191</v>
      </c>
      <c r="J90">
        <v>504</v>
      </c>
    </row>
    <row r="91" spans="1:10" x14ac:dyDescent="0.3">
      <c r="A91" t="s">
        <v>21</v>
      </c>
      <c r="B91" t="s">
        <v>25</v>
      </c>
      <c r="C91" t="s">
        <v>26</v>
      </c>
      <c r="D91">
        <v>5</v>
      </c>
      <c r="E91">
        <v>0</v>
      </c>
      <c r="F91">
        <v>2013</v>
      </c>
      <c r="G91">
        <v>2023</v>
      </c>
      <c r="H91" t="s">
        <v>27</v>
      </c>
      <c r="I91">
        <v>266</v>
      </c>
      <c r="J91">
        <v>693</v>
      </c>
    </row>
    <row r="92" spans="1:10" x14ac:dyDescent="0.3">
      <c r="A92" t="s">
        <v>21</v>
      </c>
      <c r="B92" t="s">
        <v>25</v>
      </c>
      <c r="C92" t="s">
        <v>26</v>
      </c>
      <c r="D92">
        <v>5</v>
      </c>
      <c r="E92">
        <v>0</v>
      </c>
      <c r="F92">
        <v>2014</v>
      </c>
      <c r="G92">
        <v>2023</v>
      </c>
      <c r="H92" t="s">
        <v>27</v>
      </c>
      <c r="I92">
        <v>393</v>
      </c>
      <c r="J92">
        <v>828</v>
      </c>
    </row>
    <row r="93" spans="1:10" x14ac:dyDescent="0.3">
      <c r="A93" t="s">
        <v>21</v>
      </c>
      <c r="B93" t="s">
        <v>25</v>
      </c>
      <c r="C93" t="s">
        <v>26</v>
      </c>
      <c r="D93">
        <v>5</v>
      </c>
      <c r="E93">
        <v>0</v>
      </c>
      <c r="F93">
        <v>2015</v>
      </c>
      <c r="G93">
        <v>2023</v>
      </c>
      <c r="H93" t="s">
        <v>27</v>
      </c>
      <c r="I93">
        <v>526</v>
      </c>
      <c r="J93">
        <v>1061</v>
      </c>
    </row>
    <row r="94" spans="1:10" x14ac:dyDescent="0.3">
      <c r="A94" t="s">
        <v>21</v>
      </c>
      <c r="B94" t="s">
        <v>25</v>
      </c>
      <c r="C94" t="s">
        <v>26</v>
      </c>
      <c r="D94">
        <v>5</v>
      </c>
      <c r="E94">
        <v>0</v>
      </c>
      <c r="F94">
        <v>2016</v>
      </c>
      <c r="G94">
        <v>2023</v>
      </c>
      <c r="H94" t="s">
        <v>27</v>
      </c>
      <c r="I94">
        <v>850</v>
      </c>
      <c r="J94">
        <v>1396</v>
      </c>
    </row>
    <row r="95" spans="1:10" x14ac:dyDescent="0.3">
      <c r="A95" t="s">
        <v>21</v>
      </c>
      <c r="B95" t="s">
        <v>25</v>
      </c>
      <c r="C95" t="s">
        <v>26</v>
      </c>
      <c r="D95">
        <v>5</v>
      </c>
      <c r="E95">
        <v>0</v>
      </c>
      <c r="F95">
        <v>2017</v>
      </c>
      <c r="G95">
        <v>2023</v>
      </c>
      <c r="H95" t="s">
        <v>27</v>
      </c>
      <c r="I95">
        <v>1267</v>
      </c>
      <c r="J95">
        <v>1826</v>
      </c>
    </row>
    <row r="96" spans="1:10" x14ac:dyDescent="0.3">
      <c r="A96" t="s">
        <v>21</v>
      </c>
      <c r="B96" t="s">
        <v>25</v>
      </c>
      <c r="C96" t="s">
        <v>26</v>
      </c>
      <c r="D96">
        <v>5</v>
      </c>
      <c r="E96">
        <v>0</v>
      </c>
      <c r="F96">
        <v>2018</v>
      </c>
      <c r="G96">
        <v>2023</v>
      </c>
      <c r="H96" t="s">
        <v>27</v>
      </c>
      <c r="I96">
        <v>1700</v>
      </c>
      <c r="J96">
        <v>2491</v>
      </c>
    </row>
    <row r="97" spans="1:10" x14ac:dyDescent="0.3">
      <c r="A97" t="s">
        <v>21</v>
      </c>
      <c r="B97" t="s">
        <v>25</v>
      </c>
      <c r="C97" t="s">
        <v>26</v>
      </c>
      <c r="D97">
        <v>5</v>
      </c>
      <c r="E97">
        <v>0</v>
      </c>
      <c r="F97">
        <v>2019</v>
      </c>
      <c r="G97">
        <v>2023</v>
      </c>
      <c r="H97" t="s">
        <v>27</v>
      </c>
      <c r="I97">
        <v>2268</v>
      </c>
      <c r="J97">
        <v>3461</v>
      </c>
    </row>
    <row r="98" spans="1:10" x14ac:dyDescent="0.3">
      <c r="A98" t="s">
        <v>21</v>
      </c>
      <c r="B98" t="s">
        <v>25</v>
      </c>
      <c r="C98" t="s">
        <v>26</v>
      </c>
      <c r="D98">
        <v>5</v>
      </c>
      <c r="E98">
        <v>0</v>
      </c>
      <c r="F98">
        <v>2020</v>
      </c>
      <c r="G98">
        <v>2023</v>
      </c>
      <c r="H98" t="s">
        <v>27</v>
      </c>
      <c r="I98">
        <v>3600</v>
      </c>
      <c r="J98">
        <v>5970</v>
      </c>
    </row>
    <row r="99" spans="1:10" x14ac:dyDescent="0.3">
      <c r="A99" t="s">
        <v>21</v>
      </c>
      <c r="B99" t="s">
        <v>25</v>
      </c>
      <c r="C99" t="s">
        <v>26</v>
      </c>
      <c r="D99">
        <v>5</v>
      </c>
      <c r="E99">
        <v>0</v>
      </c>
      <c r="F99">
        <v>2021</v>
      </c>
      <c r="G99">
        <v>2023</v>
      </c>
      <c r="H99" t="s">
        <v>27</v>
      </c>
      <c r="I99">
        <v>6383</v>
      </c>
      <c r="J99">
        <v>9957</v>
      </c>
    </row>
    <row r="100" spans="1:10" x14ac:dyDescent="0.3">
      <c r="A100" t="s">
        <v>21</v>
      </c>
      <c r="B100" t="s">
        <v>25</v>
      </c>
      <c r="C100" t="s">
        <v>26</v>
      </c>
      <c r="D100">
        <v>5</v>
      </c>
      <c r="E100">
        <v>0</v>
      </c>
      <c r="F100">
        <v>2022</v>
      </c>
      <c r="G100">
        <v>2023</v>
      </c>
      <c r="H100" t="s">
        <v>27</v>
      </c>
      <c r="I100">
        <v>8957</v>
      </c>
      <c r="J100">
        <v>13892</v>
      </c>
    </row>
    <row r="101" spans="1:10" x14ac:dyDescent="0.3">
      <c r="A101" t="s">
        <v>21</v>
      </c>
      <c r="B101" t="s">
        <v>25</v>
      </c>
      <c r="C101" t="s">
        <v>26</v>
      </c>
      <c r="D101">
        <v>5</v>
      </c>
      <c r="E101">
        <v>0</v>
      </c>
      <c r="F101">
        <v>2023</v>
      </c>
      <c r="G101">
        <v>2023</v>
      </c>
      <c r="H101" t="s">
        <v>27</v>
      </c>
      <c r="I101">
        <v>12220</v>
      </c>
      <c r="J101">
        <v>18356</v>
      </c>
    </row>
    <row r="102" spans="1:10" x14ac:dyDescent="0.3">
      <c r="A102" t="s">
        <v>14</v>
      </c>
      <c r="B102" t="s">
        <v>28</v>
      </c>
      <c r="C102" t="s">
        <v>29</v>
      </c>
      <c r="D102">
        <v>6</v>
      </c>
      <c r="E102">
        <v>0</v>
      </c>
      <c r="F102">
        <v>2004</v>
      </c>
      <c r="G102">
        <v>2023</v>
      </c>
      <c r="H102" t="s">
        <v>30</v>
      </c>
      <c r="I102">
        <v>12</v>
      </c>
    </row>
    <row r="103" spans="1:10" x14ac:dyDescent="0.3">
      <c r="A103" t="s">
        <v>14</v>
      </c>
      <c r="B103" t="s">
        <v>28</v>
      </c>
      <c r="C103" t="s">
        <v>29</v>
      </c>
      <c r="D103">
        <v>6</v>
      </c>
      <c r="E103">
        <v>0</v>
      </c>
      <c r="F103">
        <v>2005</v>
      </c>
      <c r="G103">
        <v>2023</v>
      </c>
      <c r="H103" t="s">
        <v>30</v>
      </c>
      <c r="I103">
        <v>11</v>
      </c>
    </row>
    <row r="104" spans="1:10" x14ac:dyDescent="0.3">
      <c r="A104" t="s">
        <v>14</v>
      </c>
      <c r="B104" t="s">
        <v>28</v>
      </c>
      <c r="C104" t="s">
        <v>29</v>
      </c>
      <c r="D104">
        <v>6</v>
      </c>
      <c r="E104">
        <v>0</v>
      </c>
      <c r="F104">
        <v>2006</v>
      </c>
      <c r="G104">
        <v>2023</v>
      </c>
      <c r="H104" t="s">
        <v>30</v>
      </c>
      <c r="I104">
        <v>10</v>
      </c>
      <c r="J104">
        <v>45</v>
      </c>
    </row>
    <row r="105" spans="1:10" x14ac:dyDescent="0.3">
      <c r="A105" t="s">
        <v>14</v>
      </c>
      <c r="B105" t="s">
        <v>28</v>
      </c>
      <c r="C105" t="s">
        <v>29</v>
      </c>
      <c r="D105">
        <v>6</v>
      </c>
      <c r="E105">
        <v>0</v>
      </c>
      <c r="F105">
        <v>2007</v>
      </c>
      <c r="G105">
        <v>2023</v>
      </c>
      <c r="H105" t="s">
        <v>30</v>
      </c>
      <c r="I105">
        <v>10</v>
      </c>
      <c r="J105">
        <v>132</v>
      </c>
    </row>
    <row r="106" spans="1:10" x14ac:dyDescent="0.3">
      <c r="A106" t="s">
        <v>14</v>
      </c>
      <c r="B106" t="s">
        <v>28</v>
      </c>
      <c r="C106" t="s">
        <v>29</v>
      </c>
      <c r="D106">
        <v>6</v>
      </c>
      <c r="E106">
        <v>0</v>
      </c>
      <c r="F106">
        <v>2008</v>
      </c>
      <c r="G106">
        <v>2023</v>
      </c>
      <c r="H106" t="s">
        <v>30</v>
      </c>
      <c r="I106">
        <v>11</v>
      </c>
      <c r="J106">
        <v>291</v>
      </c>
    </row>
    <row r="107" spans="1:10" x14ac:dyDescent="0.3">
      <c r="A107" t="s">
        <v>14</v>
      </c>
      <c r="B107" t="s">
        <v>28</v>
      </c>
      <c r="C107" t="s">
        <v>29</v>
      </c>
      <c r="D107">
        <v>6</v>
      </c>
      <c r="E107">
        <v>0</v>
      </c>
      <c r="F107">
        <v>2009</v>
      </c>
      <c r="G107">
        <v>2023</v>
      </c>
      <c r="H107" t="s">
        <v>30</v>
      </c>
      <c r="I107">
        <v>15</v>
      </c>
      <c r="J107">
        <v>388</v>
      </c>
    </row>
    <row r="108" spans="1:10" x14ac:dyDescent="0.3">
      <c r="A108" t="s">
        <v>14</v>
      </c>
      <c r="B108" t="s">
        <v>28</v>
      </c>
      <c r="C108" t="s">
        <v>29</v>
      </c>
      <c r="D108">
        <v>6</v>
      </c>
      <c r="E108">
        <v>0</v>
      </c>
      <c r="F108">
        <v>2010</v>
      </c>
      <c r="G108">
        <v>2023</v>
      </c>
      <c r="H108" t="s">
        <v>30</v>
      </c>
      <c r="I108">
        <v>18</v>
      </c>
      <c r="J108">
        <v>531</v>
      </c>
    </row>
    <row r="109" spans="1:10" x14ac:dyDescent="0.3">
      <c r="A109" t="s">
        <v>14</v>
      </c>
      <c r="B109" t="s">
        <v>28</v>
      </c>
      <c r="C109" t="s">
        <v>29</v>
      </c>
      <c r="D109">
        <v>6</v>
      </c>
      <c r="E109">
        <v>0</v>
      </c>
      <c r="F109">
        <v>2011</v>
      </c>
      <c r="G109">
        <v>2023</v>
      </c>
      <c r="H109" t="s">
        <v>30</v>
      </c>
      <c r="I109">
        <v>47</v>
      </c>
      <c r="J109">
        <v>664</v>
      </c>
    </row>
    <row r="110" spans="1:10" x14ac:dyDescent="0.3">
      <c r="A110" t="s">
        <v>14</v>
      </c>
      <c r="B110" t="s">
        <v>28</v>
      </c>
      <c r="C110" t="s">
        <v>29</v>
      </c>
      <c r="D110">
        <v>6</v>
      </c>
      <c r="E110">
        <v>0</v>
      </c>
      <c r="F110">
        <v>2012</v>
      </c>
      <c r="G110">
        <v>2023</v>
      </c>
      <c r="H110" t="s">
        <v>30</v>
      </c>
      <c r="I110">
        <v>110</v>
      </c>
      <c r="J110">
        <v>939</v>
      </c>
    </row>
    <row r="111" spans="1:10" x14ac:dyDescent="0.3">
      <c r="A111" t="s">
        <v>14</v>
      </c>
      <c r="B111" t="s">
        <v>28</v>
      </c>
      <c r="C111" t="s">
        <v>29</v>
      </c>
      <c r="D111">
        <v>6</v>
      </c>
      <c r="E111">
        <v>0</v>
      </c>
      <c r="F111">
        <v>2013</v>
      </c>
      <c r="G111">
        <v>2023</v>
      </c>
      <c r="H111" t="s">
        <v>30</v>
      </c>
      <c r="I111">
        <v>233</v>
      </c>
      <c r="J111">
        <v>1168</v>
      </c>
    </row>
    <row r="112" spans="1:10" x14ac:dyDescent="0.3">
      <c r="A112" t="s">
        <v>14</v>
      </c>
      <c r="B112" t="s">
        <v>28</v>
      </c>
      <c r="C112" t="s">
        <v>29</v>
      </c>
      <c r="D112">
        <v>6</v>
      </c>
      <c r="E112">
        <v>0</v>
      </c>
      <c r="F112">
        <v>2014</v>
      </c>
      <c r="G112">
        <v>2023</v>
      </c>
      <c r="H112" t="s">
        <v>30</v>
      </c>
      <c r="I112">
        <v>483</v>
      </c>
      <c r="J112">
        <v>1389</v>
      </c>
    </row>
    <row r="113" spans="1:10" x14ac:dyDescent="0.3">
      <c r="A113" t="s">
        <v>14</v>
      </c>
      <c r="B113" t="s">
        <v>28</v>
      </c>
      <c r="C113" t="s">
        <v>29</v>
      </c>
      <c r="D113">
        <v>6</v>
      </c>
      <c r="E113">
        <v>0</v>
      </c>
      <c r="F113">
        <v>2015</v>
      </c>
      <c r="G113">
        <v>2023</v>
      </c>
      <c r="H113" t="s">
        <v>30</v>
      </c>
      <c r="I113">
        <v>731</v>
      </c>
      <c r="J113">
        <v>1910</v>
      </c>
    </row>
    <row r="114" spans="1:10" x14ac:dyDescent="0.3">
      <c r="A114" t="s">
        <v>14</v>
      </c>
      <c r="B114" t="s">
        <v>28</v>
      </c>
      <c r="C114" t="s">
        <v>29</v>
      </c>
      <c r="D114">
        <v>6</v>
      </c>
      <c r="E114">
        <v>0</v>
      </c>
      <c r="F114">
        <v>2016</v>
      </c>
      <c r="G114">
        <v>2023</v>
      </c>
      <c r="H114" t="s">
        <v>30</v>
      </c>
      <c r="I114">
        <v>1383</v>
      </c>
      <c r="J114">
        <v>2252</v>
      </c>
    </row>
    <row r="115" spans="1:10" x14ac:dyDescent="0.3">
      <c r="A115" t="s">
        <v>14</v>
      </c>
      <c r="B115" t="s">
        <v>28</v>
      </c>
      <c r="C115" t="s">
        <v>29</v>
      </c>
      <c r="D115">
        <v>6</v>
      </c>
      <c r="E115">
        <v>0</v>
      </c>
      <c r="F115">
        <v>2017</v>
      </c>
      <c r="G115">
        <v>2023</v>
      </c>
      <c r="H115" t="s">
        <v>30</v>
      </c>
      <c r="I115">
        <v>2279</v>
      </c>
      <c r="J115">
        <v>3058</v>
      </c>
    </row>
    <row r="116" spans="1:10" x14ac:dyDescent="0.3">
      <c r="A116" t="s">
        <v>14</v>
      </c>
      <c r="B116" t="s">
        <v>28</v>
      </c>
      <c r="C116" t="s">
        <v>29</v>
      </c>
      <c r="D116">
        <v>6</v>
      </c>
      <c r="E116">
        <v>0</v>
      </c>
      <c r="F116">
        <v>2018</v>
      </c>
      <c r="G116">
        <v>2023</v>
      </c>
      <c r="H116" t="s">
        <v>30</v>
      </c>
      <c r="I116">
        <v>3188</v>
      </c>
      <c r="J116">
        <v>4134</v>
      </c>
    </row>
    <row r="117" spans="1:10" x14ac:dyDescent="0.3">
      <c r="A117" t="s">
        <v>14</v>
      </c>
      <c r="B117" t="s">
        <v>28</v>
      </c>
      <c r="C117" t="s">
        <v>29</v>
      </c>
      <c r="D117">
        <v>6</v>
      </c>
      <c r="E117">
        <v>0</v>
      </c>
      <c r="F117">
        <v>2019</v>
      </c>
      <c r="G117">
        <v>2023</v>
      </c>
      <c r="H117" t="s">
        <v>30</v>
      </c>
      <c r="I117">
        <v>4391</v>
      </c>
      <c r="J117">
        <v>5895</v>
      </c>
    </row>
    <row r="118" spans="1:10" x14ac:dyDescent="0.3">
      <c r="A118" t="s">
        <v>14</v>
      </c>
      <c r="B118" t="s">
        <v>28</v>
      </c>
      <c r="C118" t="s">
        <v>29</v>
      </c>
      <c r="D118">
        <v>6</v>
      </c>
      <c r="E118">
        <v>0</v>
      </c>
      <c r="F118">
        <v>2020</v>
      </c>
      <c r="G118">
        <v>2023</v>
      </c>
      <c r="H118" t="s">
        <v>30</v>
      </c>
      <c r="I118">
        <v>6393</v>
      </c>
      <c r="J118">
        <v>9897</v>
      </c>
    </row>
    <row r="119" spans="1:10" x14ac:dyDescent="0.3">
      <c r="A119" t="s">
        <v>14</v>
      </c>
      <c r="B119" t="s">
        <v>28</v>
      </c>
      <c r="C119" t="s">
        <v>29</v>
      </c>
      <c r="D119">
        <v>6</v>
      </c>
      <c r="E119">
        <v>0</v>
      </c>
      <c r="F119">
        <v>2021</v>
      </c>
      <c r="G119">
        <v>2023</v>
      </c>
      <c r="H119" t="s">
        <v>30</v>
      </c>
      <c r="I119">
        <v>10487</v>
      </c>
      <c r="J119">
        <v>17201</v>
      </c>
    </row>
    <row r="120" spans="1:10" x14ac:dyDescent="0.3">
      <c r="A120" t="s">
        <v>14</v>
      </c>
      <c r="B120" t="s">
        <v>28</v>
      </c>
      <c r="C120" t="s">
        <v>29</v>
      </c>
      <c r="D120">
        <v>6</v>
      </c>
      <c r="E120">
        <v>0</v>
      </c>
      <c r="F120">
        <v>2022</v>
      </c>
      <c r="G120">
        <v>2023</v>
      </c>
      <c r="H120" t="s">
        <v>30</v>
      </c>
      <c r="I120">
        <v>14510</v>
      </c>
      <c r="J120">
        <v>24364</v>
      </c>
    </row>
    <row r="121" spans="1:10" x14ac:dyDescent="0.3">
      <c r="A121" t="s">
        <v>14</v>
      </c>
      <c r="B121" t="s">
        <v>28</v>
      </c>
      <c r="C121" t="s">
        <v>29</v>
      </c>
      <c r="D121">
        <v>6</v>
      </c>
      <c r="E121">
        <v>0</v>
      </c>
      <c r="F121">
        <v>2023</v>
      </c>
      <c r="G121">
        <v>2023</v>
      </c>
      <c r="H121" t="s">
        <v>30</v>
      </c>
      <c r="I121">
        <v>19797</v>
      </c>
      <c r="J121">
        <v>32996</v>
      </c>
    </row>
    <row r="122" spans="1:10" x14ac:dyDescent="0.3">
      <c r="A122" t="s">
        <v>21</v>
      </c>
      <c r="B122" t="s">
        <v>31</v>
      </c>
      <c r="C122" t="s">
        <v>32</v>
      </c>
      <c r="D122">
        <v>7</v>
      </c>
      <c r="E122">
        <v>0</v>
      </c>
      <c r="F122">
        <v>2004</v>
      </c>
      <c r="G122">
        <v>2023</v>
      </c>
      <c r="H122" t="s">
        <v>33</v>
      </c>
      <c r="I122">
        <v>6</v>
      </c>
    </row>
    <row r="123" spans="1:10" x14ac:dyDescent="0.3">
      <c r="A123" t="s">
        <v>21</v>
      </c>
      <c r="B123" t="s">
        <v>31</v>
      </c>
      <c r="C123" t="s">
        <v>32</v>
      </c>
      <c r="D123">
        <v>7</v>
      </c>
      <c r="E123">
        <v>0</v>
      </c>
      <c r="F123">
        <v>2005</v>
      </c>
      <c r="G123">
        <v>2023</v>
      </c>
      <c r="H123" t="s">
        <v>33</v>
      </c>
      <c r="I123">
        <v>5</v>
      </c>
    </row>
    <row r="124" spans="1:10" x14ac:dyDescent="0.3">
      <c r="A124" t="s">
        <v>21</v>
      </c>
      <c r="B124" t="s">
        <v>31</v>
      </c>
      <c r="C124" t="s">
        <v>32</v>
      </c>
      <c r="D124">
        <v>7</v>
      </c>
      <c r="E124">
        <v>0</v>
      </c>
      <c r="F124">
        <v>2006</v>
      </c>
      <c r="G124">
        <v>2023</v>
      </c>
      <c r="H124" t="s">
        <v>33</v>
      </c>
      <c r="I124">
        <v>4</v>
      </c>
      <c r="J124">
        <v>36</v>
      </c>
    </row>
    <row r="125" spans="1:10" x14ac:dyDescent="0.3">
      <c r="A125" t="s">
        <v>21</v>
      </c>
      <c r="B125" t="s">
        <v>31</v>
      </c>
      <c r="C125" t="s">
        <v>32</v>
      </c>
      <c r="D125">
        <v>7</v>
      </c>
      <c r="E125">
        <v>0</v>
      </c>
      <c r="F125">
        <v>2007</v>
      </c>
      <c r="G125">
        <v>2023</v>
      </c>
      <c r="H125" t="s">
        <v>33</v>
      </c>
      <c r="I125">
        <v>6</v>
      </c>
      <c r="J125">
        <v>94</v>
      </c>
    </row>
    <row r="126" spans="1:10" x14ac:dyDescent="0.3">
      <c r="A126" t="s">
        <v>21</v>
      </c>
      <c r="B126" t="s">
        <v>31</v>
      </c>
      <c r="C126" t="s">
        <v>32</v>
      </c>
      <c r="D126">
        <v>7</v>
      </c>
      <c r="E126">
        <v>0</v>
      </c>
      <c r="F126">
        <v>2008</v>
      </c>
      <c r="G126">
        <v>2023</v>
      </c>
      <c r="H126" t="s">
        <v>33</v>
      </c>
      <c r="I126">
        <v>6</v>
      </c>
      <c r="J126">
        <v>198</v>
      </c>
    </row>
    <row r="127" spans="1:10" x14ac:dyDescent="0.3">
      <c r="A127" t="s">
        <v>21</v>
      </c>
      <c r="B127" t="s">
        <v>31</v>
      </c>
      <c r="C127" t="s">
        <v>32</v>
      </c>
      <c r="D127">
        <v>7</v>
      </c>
      <c r="E127">
        <v>0</v>
      </c>
      <c r="F127">
        <v>2009</v>
      </c>
      <c r="G127">
        <v>2023</v>
      </c>
      <c r="H127" t="s">
        <v>33</v>
      </c>
      <c r="I127">
        <v>8</v>
      </c>
      <c r="J127">
        <v>253</v>
      </c>
    </row>
    <row r="128" spans="1:10" x14ac:dyDescent="0.3">
      <c r="A128" t="s">
        <v>21</v>
      </c>
      <c r="B128" t="s">
        <v>31</v>
      </c>
      <c r="C128" t="s">
        <v>32</v>
      </c>
      <c r="D128">
        <v>7</v>
      </c>
      <c r="E128">
        <v>0</v>
      </c>
      <c r="F128">
        <v>2010</v>
      </c>
      <c r="G128">
        <v>2023</v>
      </c>
      <c r="H128" t="s">
        <v>33</v>
      </c>
      <c r="I128">
        <v>14</v>
      </c>
      <c r="J128">
        <v>335</v>
      </c>
    </row>
    <row r="129" spans="1:10" x14ac:dyDescent="0.3">
      <c r="A129" t="s">
        <v>21</v>
      </c>
      <c r="B129" t="s">
        <v>31</v>
      </c>
      <c r="C129" t="s">
        <v>32</v>
      </c>
      <c r="D129">
        <v>7</v>
      </c>
      <c r="E129">
        <v>0</v>
      </c>
      <c r="F129">
        <v>2011</v>
      </c>
      <c r="G129">
        <v>2023</v>
      </c>
      <c r="H129" t="s">
        <v>33</v>
      </c>
      <c r="I129">
        <v>36</v>
      </c>
      <c r="J129">
        <v>454</v>
      </c>
    </row>
    <row r="130" spans="1:10" x14ac:dyDescent="0.3">
      <c r="A130" t="s">
        <v>21</v>
      </c>
      <c r="B130" t="s">
        <v>31</v>
      </c>
      <c r="C130" t="s">
        <v>32</v>
      </c>
      <c r="D130">
        <v>7</v>
      </c>
      <c r="E130">
        <v>0</v>
      </c>
      <c r="F130">
        <v>2012</v>
      </c>
      <c r="G130">
        <v>2023</v>
      </c>
      <c r="H130" t="s">
        <v>33</v>
      </c>
      <c r="I130">
        <v>62</v>
      </c>
      <c r="J130">
        <v>640</v>
      </c>
    </row>
    <row r="131" spans="1:10" x14ac:dyDescent="0.3">
      <c r="A131" t="s">
        <v>21</v>
      </c>
      <c r="B131" t="s">
        <v>31</v>
      </c>
      <c r="C131" t="s">
        <v>32</v>
      </c>
      <c r="D131">
        <v>7</v>
      </c>
      <c r="E131">
        <v>0</v>
      </c>
      <c r="F131">
        <v>2013</v>
      </c>
      <c r="G131">
        <v>2023</v>
      </c>
      <c r="H131" t="s">
        <v>33</v>
      </c>
      <c r="I131">
        <v>87</v>
      </c>
      <c r="J131">
        <v>880</v>
      </c>
    </row>
    <row r="132" spans="1:10" x14ac:dyDescent="0.3">
      <c r="A132" t="s">
        <v>21</v>
      </c>
      <c r="B132" t="s">
        <v>31</v>
      </c>
      <c r="C132" t="s">
        <v>32</v>
      </c>
      <c r="D132">
        <v>7</v>
      </c>
      <c r="E132">
        <v>0</v>
      </c>
      <c r="F132">
        <v>2014</v>
      </c>
      <c r="G132">
        <v>2023</v>
      </c>
      <c r="H132" t="s">
        <v>33</v>
      </c>
      <c r="I132">
        <v>193</v>
      </c>
      <c r="J132">
        <v>1091</v>
      </c>
    </row>
    <row r="133" spans="1:10" x14ac:dyDescent="0.3">
      <c r="A133" t="s">
        <v>21</v>
      </c>
      <c r="B133" t="s">
        <v>31</v>
      </c>
      <c r="C133" t="s">
        <v>32</v>
      </c>
      <c r="D133">
        <v>7</v>
      </c>
      <c r="E133">
        <v>0</v>
      </c>
      <c r="F133">
        <v>2015</v>
      </c>
      <c r="G133">
        <v>2023</v>
      </c>
      <c r="H133" t="s">
        <v>33</v>
      </c>
      <c r="I133">
        <v>321</v>
      </c>
      <c r="J133">
        <v>1343</v>
      </c>
    </row>
    <row r="134" spans="1:10" x14ac:dyDescent="0.3">
      <c r="A134" t="s">
        <v>21</v>
      </c>
      <c r="B134" t="s">
        <v>31</v>
      </c>
      <c r="C134" t="s">
        <v>32</v>
      </c>
      <c r="D134">
        <v>7</v>
      </c>
      <c r="E134">
        <v>0</v>
      </c>
      <c r="F134">
        <v>2016</v>
      </c>
      <c r="G134">
        <v>2023</v>
      </c>
      <c r="H134" t="s">
        <v>33</v>
      </c>
      <c r="I134">
        <v>734</v>
      </c>
      <c r="J134">
        <v>1728</v>
      </c>
    </row>
    <row r="135" spans="1:10" x14ac:dyDescent="0.3">
      <c r="A135" t="s">
        <v>21</v>
      </c>
      <c r="B135" t="s">
        <v>31</v>
      </c>
      <c r="C135" t="s">
        <v>32</v>
      </c>
      <c r="D135">
        <v>7</v>
      </c>
      <c r="E135">
        <v>0</v>
      </c>
      <c r="F135">
        <v>2017</v>
      </c>
      <c r="G135">
        <v>2023</v>
      </c>
      <c r="H135" t="s">
        <v>33</v>
      </c>
      <c r="I135">
        <v>1316</v>
      </c>
      <c r="J135">
        <v>2513</v>
      </c>
    </row>
    <row r="136" spans="1:10" x14ac:dyDescent="0.3">
      <c r="A136" t="s">
        <v>21</v>
      </c>
      <c r="B136" t="s">
        <v>31</v>
      </c>
      <c r="C136" t="s">
        <v>32</v>
      </c>
      <c r="D136">
        <v>7</v>
      </c>
      <c r="E136">
        <v>0</v>
      </c>
      <c r="F136">
        <v>2018</v>
      </c>
      <c r="G136">
        <v>2023</v>
      </c>
      <c r="H136" t="s">
        <v>33</v>
      </c>
      <c r="I136">
        <v>2010</v>
      </c>
      <c r="J136">
        <v>3336</v>
      </c>
    </row>
    <row r="137" spans="1:10" x14ac:dyDescent="0.3">
      <c r="A137" t="s">
        <v>21</v>
      </c>
      <c r="B137" t="s">
        <v>31</v>
      </c>
      <c r="C137" t="s">
        <v>32</v>
      </c>
      <c r="D137">
        <v>7</v>
      </c>
      <c r="E137">
        <v>0</v>
      </c>
      <c r="F137">
        <v>2019</v>
      </c>
      <c r="G137">
        <v>2023</v>
      </c>
      <c r="H137" t="s">
        <v>33</v>
      </c>
      <c r="I137">
        <v>2877</v>
      </c>
      <c r="J137">
        <v>4765</v>
      </c>
    </row>
    <row r="138" spans="1:10" x14ac:dyDescent="0.3">
      <c r="A138" t="s">
        <v>21</v>
      </c>
      <c r="B138" t="s">
        <v>31</v>
      </c>
      <c r="C138" t="s">
        <v>32</v>
      </c>
      <c r="D138">
        <v>7</v>
      </c>
      <c r="E138">
        <v>0</v>
      </c>
      <c r="F138">
        <v>2020</v>
      </c>
      <c r="G138">
        <v>2023</v>
      </c>
      <c r="H138" t="s">
        <v>33</v>
      </c>
      <c r="I138">
        <v>4348</v>
      </c>
      <c r="J138">
        <v>7736</v>
      </c>
    </row>
    <row r="139" spans="1:10" x14ac:dyDescent="0.3">
      <c r="A139" t="s">
        <v>21</v>
      </c>
      <c r="B139" t="s">
        <v>31</v>
      </c>
      <c r="C139" t="s">
        <v>32</v>
      </c>
      <c r="D139">
        <v>7</v>
      </c>
      <c r="E139">
        <v>0</v>
      </c>
      <c r="F139">
        <v>2021</v>
      </c>
      <c r="G139">
        <v>2023</v>
      </c>
      <c r="H139" t="s">
        <v>33</v>
      </c>
      <c r="I139">
        <v>7030</v>
      </c>
      <c r="J139">
        <v>13184</v>
      </c>
    </row>
    <row r="140" spans="1:10" x14ac:dyDescent="0.3">
      <c r="A140" t="s">
        <v>21</v>
      </c>
      <c r="B140" t="s">
        <v>31</v>
      </c>
      <c r="C140" t="s">
        <v>32</v>
      </c>
      <c r="D140">
        <v>7</v>
      </c>
      <c r="E140">
        <v>0</v>
      </c>
      <c r="F140">
        <v>2022</v>
      </c>
      <c r="G140">
        <v>2023</v>
      </c>
      <c r="H140" t="s">
        <v>33</v>
      </c>
      <c r="I140">
        <v>10204</v>
      </c>
      <c r="J140">
        <v>18124</v>
      </c>
    </row>
    <row r="141" spans="1:10" x14ac:dyDescent="0.3">
      <c r="A141" t="s">
        <v>21</v>
      </c>
      <c r="B141" t="s">
        <v>31</v>
      </c>
      <c r="C141" t="s">
        <v>32</v>
      </c>
      <c r="D141">
        <v>7</v>
      </c>
      <c r="E141">
        <v>0</v>
      </c>
      <c r="F141">
        <v>2023</v>
      </c>
      <c r="G141">
        <v>2023</v>
      </c>
      <c r="H141" t="s">
        <v>33</v>
      </c>
      <c r="I141">
        <v>14162</v>
      </c>
      <c r="J141">
        <v>23877</v>
      </c>
    </row>
    <row r="142" spans="1:10" x14ac:dyDescent="0.3">
      <c r="A142" t="s">
        <v>21</v>
      </c>
      <c r="B142" t="s">
        <v>34</v>
      </c>
      <c r="C142" t="s">
        <v>35</v>
      </c>
      <c r="D142">
        <v>8</v>
      </c>
      <c r="E142">
        <v>0</v>
      </c>
      <c r="F142">
        <v>2004</v>
      </c>
      <c r="G142">
        <v>2023</v>
      </c>
      <c r="H142" t="s">
        <v>36</v>
      </c>
      <c r="I142">
        <v>17</v>
      </c>
    </row>
    <row r="143" spans="1:10" x14ac:dyDescent="0.3">
      <c r="A143" t="s">
        <v>21</v>
      </c>
      <c r="B143" t="s">
        <v>34</v>
      </c>
      <c r="C143" t="s">
        <v>35</v>
      </c>
      <c r="D143">
        <v>8</v>
      </c>
      <c r="E143">
        <v>0</v>
      </c>
      <c r="F143">
        <v>2005</v>
      </c>
      <c r="G143">
        <v>2023</v>
      </c>
      <c r="H143" t="s">
        <v>36</v>
      </c>
      <c r="I143">
        <v>16</v>
      </c>
    </row>
    <row r="144" spans="1:10" x14ac:dyDescent="0.3">
      <c r="A144" t="s">
        <v>21</v>
      </c>
      <c r="B144" t="s">
        <v>34</v>
      </c>
      <c r="C144" t="s">
        <v>35</v>
      </c>
      <c r="D144">
        <v>8</v>
      </c>
      <c r="E144">
        <v>0</v>
      </c>
      <c r="F144">
        <v>2006</v>
      </c>
      <c r="G144">
        <v>2023</v>
      </c>
      <c r="H144" t="s">
        <v>36</v>
      </c>
      <c r="I144">
        <v>17</v>
      </c>
      <c r="J144">
        <v>28</v>
      </c>
    </row>
    <row r="145" spans="1:10" x14ac:dyDescent="0.3">
      <c r="A145" t="s">
        <v>21</v>
      </c>
      <c r="B145" t="s">
        <v>34</v>
      </c>
      <c r="C145" t="s">
        <v>35</v>
      </c>
      <c r="D145">
        <v>8</v>
      </c>
      <c r="E145">
        <v>0</v>
      </c>
      <c r="F145">
        <v>2007</v>
      </c>
      <c r="G145">
        <v>2023</v>
      </c>
      <c r="H145" t="s">
        <v>36</v>
      </c>
      <c r="I145">
        <v>17</v>
      </c>
      <c r="J145">
        <v>81</v>
      </c>
    </row>
    <row r="146" spans="1:10" x14ac:dyDescent="0.3">
      <c r="A146" t="s">
        <v>21</v>
      </c>
      <c r="B146" t="s">
        <v>34</v>
      </c>
      <c r="C146" t="s">
        <v>35</v>
      </c>
      <c r="D146">
        <v>8</v>
      </c>
      <c r="E146">
        <v>0</v>
      </c>
      <c r="F146">
        <v>2008</v>
      </c>
      <c r="G146">
        <v>2023</v>
      </c>
      <c r="H146" t="s">
        <v>36</v>
      </c>
      <c r="I146">
        <v>16</v>
      </c>
      <c r="J146">
        <v>161</v>
      </c>
    </row>
    <row r="147" spans="1:10" x14ac:dyDescent="0.3">
      <c r="A147" t="s">
        <v>21</v>
      </c>
      <c r="B147" t="s">
        <v>34</v>
      </c>
      <c r="C147" t="s">
        <v>35</v>
      </c>
      <c r="D147">
        <v>8</v>
      </c>
      <c r="E147">
        <v>0</v>
      </c>
      <c r="F147">
        <v>2009</v>
      </c>
      <c r="G147">
        <v>2023</v>
      </c>
      <c r="H147" t="s">
        <v>36</v>
      </c>
      <c r="I147">
        <v>54</v>
      </c>
      <c r="J147">
        <v>217</v>
      </c>
    </row>
    <row r="148" spans="1:10" x14ac:dyDescent="0.3">
      <c r="A148" t="s">
        <v>21</v>
      </c>
      <c r="B148" t="s">
        <v>34</v>
      </c>
      <c r="C148" t="s">
        <v>35</v>
      </c>
      <c r="D148">
        <v>8</v>
      </c>
      <c r="E148">
        <v>0</v>
      </c>
      <c r="F148">
        <v>2010</v>
      </c>
      <c r="G148">
        <v>2023</v>
      </c>
      <c r="H148" t="s">
        <v>36</v>
      </c>
      <c r="I148">
        <v>84</v>
      </c>
      <c r="J148">
        <v>291</v>
      </c>
    </row>
    <row r="149" spans="1:10" x14ac:dyDescent="0.3">
      <c r="A149" t="s">
        <v>21</v>
      </c>
      <c r="B149" t="s">
        <v>34</v>
      </c>
      <c r="C149" t="s">
        <v>35</v>
      </c>
      <c r="D149">
        <v>8</v>
      </c>
      <c r="E149">
        <v>0</v>
      </c>
      <c r="F149">
        <v>2011</v>
      </c>
      <c r="G149">
        <v>2023</v>
      </c>
      <c r="H149" t="s">
        <v>36</v>
      </c>
      <c r="I149">
        <v>354</v>
      </c>
      <c r="J149">
        <v>358</v>
      </c>
    </row>
    <row r="150" spans="1:10" x14ac:dyDescent="0.3">
      <c r="A150" t="s">
        <v>21</v>
      </c>
      <c r="B150" t="s">
        <v>34</v>
      </c>
      <c r="C150" t="s">
        <v>35</v>
      </c>
      <c r="D150">
        <v>8</v>
      </c>
      <c r="E150">
        <v>0</v>
      </c>
      <c r="F150">
        <v>2012</v>
      </c>
      <c r="G150">
        <v>2023</v>
      </c>
      <c r="H150" t="s">
        <v>36</v>
      </c>
      <c r="I150">
        <v>396</v>
      </c>
      <c r="J150">
        <v>449</v>
      </c>
    </row>
    <row r="151" spans="1:10" x14ac:dyDescent="0.3">
      <c r="A151" t="s">
        <v>21</v>
      </c>
      <c r="B151" t="s">
        <v>34</v>
      </c>
      <c r="C151" t="s">
        <v>35</v>
      </c>
      <c r="D151">
        <v>8</v>
      </c>
      <c r="E151">
        <v>0</v>
      </c>
      <c r="F151">
        <v>2013</v>
      </c>
      <c r="G151">
        <v>2023</v>
      </c>
      <c r="H151" t="s">
        <v>36</v>
      </c>
      <c r="I151">
        <v>417</v>
      </c>
      <c r="J151">
        <v>592</v>
      </c>
    </row>
    <row r="152" spans="1:10" x14ac:dyDescent="0.3">
      <c r="A152" t="s">
        <v>21</v>
      </c>
      <c r="B152" t="s">
        <v>34</v>
      </c>
      <c r="C152" t="s">
        <v>35</v>
      </c>
      <c r="D152">
        <v>8</v>
      </c>
      <c r="E152">
        <v>0</v>
      </c>
      <c r="F152">
        <v>2014</v>
      </c>
      <c r="G152">
        <v>2023</v>
      </c>
      <c r="H152" t="s">
        <v>36</v>
      </c>
      <c r="I152">
        <v>459</v>
      </c>
      <c r="J152">
        <v>722</v>
      </c>
    </row>
    <row r="153" spans="1:10" x14ac:dyDescent="0.3">
      <c r="A153" t="s">
        <v>21</v>
      </c>
      <c r="B153" t="s">
        <v>34</v>
      </c>
      <c r="C153" t="s">
        <v>35</v>
      </c>
      <c r="D153">
        <v>8</v>
      </c>
      <c r="E153">
        <v>0</v>
      </c>
      <c r="F153">
        <v>2015</v>
      </c>
      <c r="G153">
        <v>2023</v>
      </c>
      <c r="H153" t="s">
        <v>36</v>
      </c>
      <c r="I153">
        <v>523</v>
      </c>
      <c r="J153">
        <v>872</v>
      </c>
    </row>
    <row r="154" spans="1:10" x14ac:dyDescent="0.3">
      <c r="A154" t="s">
        <v>21</v>
      </c>
      <c r="B154" t="s">
        <v>34</v>
      </c>
      <c r="C154" t="s">
        <v>35</v>
      </c>
      <c r="D154">
        <v>8</v>
      </c>
      <c r="E154">
        <v>0</v>
      </c>
      <c r="F154">
        <v>2016</v>
      </c>
      <c r="G154">
        <v>2023</v>
      </c>
      <c r="H154" t="s">
        <v>36</v>
      </c>
      <c r="I154">
        <v>833</v>
      </c>
      <c r="J154">
        <v>1127</v>
      </c>
    </row>
    <row r="155" spans="1:10" x14ac:dyDescent="0.3">
      <c r="A155" t="s">
        <v>21</v>
      </c>
      <c r="B155" t="s">
        <v>34</v>
      </c>
      <c r="C155" t="s">
        <v>35</v>
      </c>
      <c r="D155">
        <v>8</v>
      </c>
      <c r="E155">
        <v>0</v>
      </c>
      <c r="F155">
        <v>2017</v>
      </c>
      <c r="G155">
        <v>2023</v>
      </c>
      <c r="H155" t="s">
        <v>36</v>
      </c>
      <c r="I155">
        <v>1193</v>
      </c>
      <c r="J155">
        <v>1578</v>
      </c>
    </row>
    <row r="156" spans="1:10" x14ac:dyDescent="0.3">
      <c r="A156" t="s">
        <v>21</v>
      </c>
      <c r="B156" t="s">
        <v>34</v>
      </c>
      <c r="C156" t="s">
        <v>35</v>
      </c>
      <c r="D156">
        <v>8</v>
      </c>
      <c r="E156">
        <v>0</v>
      </c>
      <c r="F156">
        <v>2018</v>
      </c>
      <c r="G156">
        <v>2023</v>
      </c>
      <c r="H156" t="s">
        <v>36</v>
      </c>
      <c r="I156">
        <v>1616</v>
      </c>
      <c r="J156">
        <v>2029</v>
      </c>
    </row>
    <row r="157" spans="1:10" x14ac:dyDescent="0.3">
      <c r="A157" t="s">
        <v>21</v>
      </c>
      <c r="B157" t="s">
        <v>34</v>
      </c>
      <c r="C157" t="s">
        <v>35</v>
      </c>
      <c r="D157">
        <v>8</v>
      </c>
      <c r="E157">
        <v>0</v>
      </c>
      <c r="F157">
        <v>2019</v>
      </c>
      <c r="G157">
        <v>2023</v>
      </c>
      <c r="H157" t="s">
        <v>36</v>
      </c>
      <c r="I157">
        <v>2178</v>
      </c>
      <c r="J157">
        <v>2787</v>
      </c>
    </row>
    <row r="158" spans="1:10" x14ac:dyDescent="0.3">
      <c r="A158" t="s">
        <v>21</v>
      </c>
      <c r="B158" t="s">
        <v>34</v>
      </c>
      <c r="C158" t="s">
        <v>35</v>
      </c>
      <c r="D158">
        <v>8</v>
      </c>
      <c r="E158">
        <v>0</v>
      </c>
      <c r="F158">
        <v>2020</v>
      </c>
      <c r="G158">
        <v>2023</v>
      </c>
      <c r="H158" t="s">
        <v>36</v>
      </c>
      <c r="I158">
        <v>2931</v>
      </c>
      <c r="J158">
        <v>4156</v>
      </c>
    </row>
    <row r="159" spans="1:10" x14ac:dyDescent="0.3">
      <c r="A159" t="s">
        <v>21</v>
      </c>
      <c r="B159" t="s">
        <v>34</v>
      </c>
      <c r="C159" t="s">
        <v>35</v>
      </c>
      <c r="D159">
        <v>8</v>
      </c>
      <c r="E159">
        <v>0</v>
      </c>
      <c r="F159">
        <v>2021</v>
      </c>
      <c r="G159">
        <v>2023</v>
      </c>
      <c r="H159" t="s">
        <v>36</v>
      </c>
      <c r="I159">
        <v>4655</v>
      </c>
      <c r="J159">
        <v>6777</v>
      </c>
    </row>
    <row r="160" spans="1:10" x14ac:dyDescent="0.3">
      <c r="A160" t="s">
        <v>21</v>
      </c>
      <c r="B160" t="s">
        <v>34</v>
      </c>
      <c r="C160" t="s">
        <v>35</v>
      </c>
      <c r="D160">
        <v>8</v>
      </c>
      <c r="E160">
        <v>0</v>
      </c>
      <c r="F160">
        <v>2022</v>
      </c>
      <c r="G160">
        <v>2023</v>
      </c>
      <c r="H160" t="s">
        <v>36</v>
      </c>
      <c r="I160">
        <v>6530</v>
      </c>
      <c r="J160">
        <v>9167</v>
      </c>
    </row>
    <row r="161" spans="1:10" x14ac:dyDescent="0.3">
      <c r="A161" t="s">
        <v>21</v>
      </c>
      <c r="B161" t="s">
        <v>34</v>
      </c>
      <c r="C161" t="s">
        <v>35</v>
      </c>
      <c r="D161">
        <v>8</v>
      </c>
      <c r="E161">
        <v>0</v>
      </c>
      <c r="F161">
        <v>2023</v>
      </c>
      <c r="G161">
        <v>2023</v>
      </c>
      <c r="H161" t="s">
        <v>36</v>
      </c>
      <c r="I161">
        <v>8834</v>
      </c>
      <c r="J161">
        <v>11964</v>
      </c>
    </row>
    <row r="162" spans="1:10" x14ac:dyDescent="0.3">
      <c r="A162" t="s">
        <v>10</v>
      </c>
      <c r="B162" t="s">
        <v>37</v>
      </c>
      <c r="C162" t="s">
        <v>38</v>
      </c>
      <c r="D162">
        <v>9</v>
      </c>
      <c r="E162">
        <v>0</v>
      </c>
      <c r="F162">
        <v>2004</v>
      </c>
      <c r="G162">
        <v>2023</v>
      </c>
      <c r="H162" t="s">
        <v>39</v>
      </c>
      <c r="I162">
        <v>22</v>
      </c>
    </row>
    <row r="163" spans="1:10" x14ac:dyDescent="0.3">
      <c r="A163" t="s">
        <v>10</v>
      </c>
      <c r="B163" t="s">
        <v>37</v>
      </c>
      <c r="C163" t="s">
        <v>38</v>
      </c>
      <c r="D163">
        <v>9</v>
      </c>
      <c r="E163">
        <v>0</v>
      </c>
      <c r="F163">
        <v>2005</v>
      </c>
      <c r="G163">
        <v>2023</v>
      </c>
      <c r="H163" t="s">
        <v>39</v>
      </c>
      <c r="I163">
        <v>22</v>
      </c>
    </row>
    <row r="164" spans="1:10" x14ac:dyDescent="0.3">
      <c r="A164" t="s">
        <v>10</v>
      </c>
      <c r="B164" t="s">
        <v>37</v>
      </c>
      <c r="C164" t="s">
        <v>38</v>
      </c>
      <c r="D164">
        <v>9</v>
      </c>
      <c r="E164">
        <v>0</v>
      </c>
      <c r="F164">
        <v>2006</v>
      </c>
      <c r="G164">
        <v>2023</v>
      </c>
      <c r="H164" t="s">
        <v>39</v>
      </c>
      <c r="I164">
        <v>20</v>
      </c>
      <c r="J164">
        <v>162</v>
      </c>
    </row>
    <row r="165" spans="1:10" x14ac:dyDescent="0.3">
      <c r="A165" t="s">
        <v>10</v>
      </c>
      <c r="B165" t="s">
        <v>37</v>
      </c>
      <c r="C165" t="s">
        <v>38</v>
      </c>
      <c r="D165">
        <v>9</v>
      </c>
      <c r="E165">
        <v>0</v>
      </c>
      <c r="F165">
        <v>2007</v>
      </c>
      <c r="G165">
        <v>2023</v>
      </c>
      <c r="H165" t="s">
        <v>39</v>
      </c>
      <c r="I165">
        <v>17</v>
      </c>
      <c r="J165">
        <v>365</v>
      </c>
    </row>
    <row r="166" spans="1:10" x14ac:dyDescent="0.3">
      <c r="A166" t="s">
        <v>10</v>
      </c>
      <c r="B166" t="s">
        <v>37</v>
      </c>
      <c r="C166" t="s">
        <v>38</v>
      </c>
      <c r="D166">
        <v>9</v>
      </c>
      <c r="E166">
        <v>0</v>
      </c>
      <c r="F166">
        <v>2008</v>
      </c>
      <c r="G166">
        <v>2023</v>
      </c>
      <c r="H166" t="s">
        <v>39</v>
      </c>
      <c r="I166">
        <v>15</v>
      </c>
      <c r="J166">
        <v>651</v>
      </c>
    </row>
    <row r="167" spans="1:10" x14ac:dyDescent="0.3">
      <c r="A167" t="s">
        <v>10</v>
      </c>
      <c r="B167" t="s">
        <v>37</v>
      </c>
      <c r="C167" t="s">
        <v>38</v>
      </c>
      <c r="D167">
        <v>9</v>
      </c>
      <c r="E167">
        <v>0</v>
      </c>
      <c r="F167">
        <v>2009</v>
      </c>
      <c r="G167">
        <v>2023</v>
      </c>
      <c r="H167" t="s">
        <v>39</v>
      </c>
      <c r="I167">
        <v>18</v>
      </c>
      <c r="J167">
        <v>941</v>
      </c>
    </row>
    <row r="168" spans="1:10" x14ac:dyDescent="0.3">
      <c r="A168" t="s">
        <v>10</v>
      </c>
      <c r="B168" t="s">
        <v>37</v>
      </c>
      <c r="C168" t="s">
        <v>38</v>
      </c>
      <c r="D168">
        <v>9</v>
      </c>
      <c r="E168">
        <v>0</v>
      </c>
      <c r="F168">
        <v>2010</v>
      </c>
      <c r="G168">
        <v>2023</v>
      </c>
      <c r="H168" t="s">
        <v>39</v>
      </c>
      <c r="I168">
        <v>36</v>
      </c>
      <c r="J168">
        <v>1253</v>
      </c>
    </row>
    <row r="169" spans="1:10" x14ac:dyDescent="0.3">
      <c r="A169" t="s">
        <v>10</v>
      </c>
      <c r="B169" t="s">
        <v>37</v>
      </c>
      <c r="C169" t="s">
        <v>38</v>
      </c>
      <c r="D169">
        <v>9</v>
      </c>
      <c r="E169">
        <v>0</v>
      </c>
      <c r="F169">
        <v>2011</v>
      </c>
      <c r="G169">
        <v>2023</v>
      </c>
      <c r="H169" t="s">
        <v>39</v>
      </c>
      <c r="I169">
        <v>110</v>
      </c>
      <c r="J169">
        <v>1579</v>
      </c>
    </row>
    <row r="170" spans="1:10" x14ac:dyDescent="0.3">
      <c r="A170" t="s">
        <v>10</v>
      </c>
      <c r="B170" t="s">
        <v>37</v>
      </c>
      <c r="C170" t="s">
        <v>38</v>
      </c>
      <c r="D170">
        <v>9</v>
      </c>
      <c r="E170">
        <v>0</v>
      </c>
      <c r="F170">
        <v>2012</v>
      </c>
      <c r="G170">
        <v>2023</v>
      </c>
      <c r="H170" t="s">
        <v>39</v>
      </c>
      <c r="I170">
        <v>137</v>
      </c>
      <c r="J170">
        <v>2100</v>
      </c>
    </row>
    <row r="171" spans="1:10" x14ac:dyDescent="0.3">
      <c r="A171" t="s">
        <v>10</v>
      </c>
      <c r="B171" t="s">
        <v>37</v>
      </c>
      <c r="C171" t="s">
        <v>38</v>
      </c>
      <c r="D171">
        <v>9</v>
      </c>
      <c r="E171">
        <v>0</v>
      </c>
      <c r="F171">
        <v>2013</v>
      </c>
      <c r="G171">
        <v>2023</v>
      </c>
      <c r="H171" t="s">
        <v>39</v>
      </c>
      <c r="I171">
        <v>208</v>
      </c>
      <c r="J171">
        <v>2705</v>
      </c>
    </row>
    <row r="172" spans="1:10" x14ac:dyDescent="0.3">
      <c r="A172" t="s">
        <v>10</v>
      </c>
      <c r="B172" t="s">
        <v>37</v>
      </c>
      <c r="C172" t="s">
        <v>38</v>
      </c>
      <c r="D172">
        <v>9</v>
      </c>
      <c r="E172">
        <v>0</v>
      </c>
      <c r="F172">
        <v>2014</v>
      </c>
      <c r="G172">
        <v>2023</v>
      </c>
      <c r="H172" t="s">
        <v>39</v>
      </c>
      <c r="I172">
        <v>337</v>
      </c>
      <c r="J172">
        <v>3352</v>
      </c>
    </row>
    <row r="173" spans="1:10" x14ac:dyDescent="0.3">
      <c r="A173" t="s">
        <v>10</v>
      </c>
      <c r="B173" t="s">
        <v>37</v>
      </c>
      <c r="C173" t="s">
        <v>38</v>
      </c>
      <c r="D173">
        <v>9</v>
      </c>
      <c r="E173">
        <v>0</v>
      </c>
      <c r="F173">
        <v>2015</v>
      </c>
      <c r="G173">
        <v>2023</v>
      </c>
      <c r="H173" t="s">
        <v>39</v>
      </c>
      <c r="I173">
        <v>541</v>
      </c>
      <c r="J173">
        <v>4047</v>
      </c>
    </row>
    <row r="174" spans="1:10" x14ac:dyDescent="0.3">
      <c r="A174" t="s">
        <v>10</v>
      </c>
      <c r="B174" t="s">
        <v>37</v>
      </c>
      <c r="C174" t="s">
        <v>38</v>
      </c>
      <c r="D174">
        <v>9</v>
      </c>
      <c r="E174">
        <v>0</v>
      </c>
      <c r="F174">
        <v>2016</v>
      </c>
      <c r="G174">
        <v>2023</v>
      </c>
      <c r="H174" t="s">
        <v>39</v>
      </c>
      <c r="I174">
        <v>930</v>
      </c>
      <c r="J174">
        <v>5068</v>
      </c>
    </row>
    <row r="175" spans="1:10" x14ac:dyDescent="0.3">
      <c r="A175" t="s">
        <v>10</v>
      </c>
      <c r="B175" t="s">
        <v>37</v>
      </c>
      <c r="C175" t="s">
        <v>38</v>
      </c>
      <c r="D175">
        <v>9</v>
      </c>
      <c r="E175">
        <v>0</v>
      </c>
      <c r="F175">
        <v>2017</v>
      </c>
      <c r="G175">
        <v>2023</v>
      </c>
      <c r="H175" t="s">
        <v>39</v>
      </c>
      <c r="I175">
        <v>1532</v>
      </c>
      <c r="J175">
        <v>7040</v>
      </c>
    </row>
    <row r="176" spans="1:10" x14ac:dyDescent="0.3">
      <c r="A176" t="s">
        <v>10</v>
      </c>
      <c r="B176" t="s">
        <v>37</v>
      </c>
      <c r="C176" t="s">
        <v>38</v>
      </c>
      <c r="D176">
        <v>9</v>
      </c>
      <c r="E176">
        <v>0</v>
      </c>
      <c r="F176">
        <v>2018</v>
      </c>
      <c r="G176">
        <v>2023</v>
      </c>
      <c r="H176" t="s">
        <v>39</v>
      </c>
      <c r="I176">
        <v>2252</v>
      </c>
      <c r="J176">
        <v>9453</v>
      </c>
    </row>
    <row r="177" spans="1:10" x14ac:dyDescent="0.3">
      <c r="A177" t="s">
        <v>10</v>
      </c>
      <c r="B177" t="s">
        <v>37</v>
      </c>
      <c r="C177" t="s">
        <v>38</v>
      </c>
      <c r="D177">
        <v>9</v>
      </c>
      <c r="E177">
        <v>0</v>
      </c>
      <c r="F177">
        <v>2019</v>
      </c>
      <c r="G177">
        <v>2023</v>
      </c>
      <c r="H177" t="s">
        <v>39</v>
      </c>
      <c r="I177">
        <v>3853</v>
      </c>
      <c r="J177">
        <v>13114</v>
      </c>
    </row>
    <row r="178" spans="1:10" x14ac:dyDescent="0.3">
      <c r="A178" t="s">
        <v>10</v>
      </c>
      <c r="B178" t="s">
        <v>37</v>
      </c>
      <c r="C178" t="s">
        <v>38</v>
      </c>
      <c r="D178">
        <v>9</v>
      </c>
      <c r="E178">
        <v>0</v>
      </c>
      <c r="F178">
        <v>2020</v>
      </c>
      <c r="G178">
        <v>2023</v>
      </c>
      <c r="H178" t="s">
        <v>39</v>
      </c>
      <c r="I178">
        <v>6245</v>
      </c>
      <c r="J178">
        <v>19708</v>
      </c>
    </row>
    <row r="179" spans="1:10" x14ac:dyDescent="0.3">
      <c r="A179" t="s">
        <v>10</v>
      </c>
      <c r="B179" t="s">
        <v>37</v>
      </c>
      <c r="C179" t="s">
        <v>38</v>
      </c>
      <c r="D179">
        <v>9</v>
      </c>
      <c r="E179">
        <v>0</v>
      </c>
      <c r="F179">
        <v>2021</v>
      </c>
      <c r="G179">
        <v>2023</v>
      </c>
      <c r="H179" t="s">
        <v>39</v>
      </c>
      <c r="I179">
        <v>11591</v>
      </c>
      <c r="J179">
        <v>29694</v>
      </c>
    </row>
    <row r="180" spans="1:10" x14ac:dyDescent="0.3">
      <c r="A180" t="s">
        <v>10</v>
      </c>
      <c r="B180" t="s">
        <v>37</v>
      </c>
      <c r="C180" t="s">
        <v>38</v>
      </c>
      <c r="D180">
        <v>9</v>
      </c>
      <c r="E180">
        <v>0</v>
      </c>
      <c r="F180">
        <v>2022</v>
      </c>
      <c r="G180">
        <v>2023</v>
      </c>
      <c r="H180" t="s">
        <v>39</v>
      </c>
      <c r="I180">
        <v>17805</v>
      </c>
      <c r="J180">
        <v>40359</v>
      </c>
    </row>
    <row r="181" spans="1:10" x14ac:dyDescent="0.3">
      <c r="A181" t="s">
        <v>10</v>
      </c>
      <c r="B181" t="s">
        <v>37</v>
      </c>
      <c r="C181" t="s">
        <v>38</v>
      </c>
      <c r="D181">
        <v>9</v>
      </c>
      <c r="E181">
        <v>0</v>
      </c>
      <c r="F181">
        <v>2023</v>
      </c>
      <c r="G181">
        <v>2023</v>
      </c>
      <c r="H181" t="s">
        <v>39</v>
      </c>
      <c r="I181">
        <v>27745</v>
      </c>
      <c r="J181">
        <v>52268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E2A5-4E2D-44D6-852E-3107039B70C8}">
  <dimension ref="A1:F181"/>
  <sheetViews>
    <sheetView workbookViewId="0">
      <selection activeCell="D24" sqref="D24"/>
    </sheetView>
  </sheetViews>
  <sheetFormatPr defaultRowHeight="14.4" x14ac:dyDescent="0.3"/>
  <cols>
    <col min="1" max="1" width="7.44140625" bestFit="1" customWidth="1"/>
    <col min="2" max="2" width="16.44140625" bestFit="1" customWidth="1"/>
    <col min="3" max="3" width="13.5546875" bestFit="1" customWidth="1"/>
    <col min="4" max="4" width="9.5546875" bestFit="1" customWidth="1"/>
    <col min="5" max="5" width="19.77734375" bestFit="1" customWidth="1"/>
    <col min="6" max="6" width="12" style="1" bestFit="1" customWidth="1"/>
  </cols>
  <sheetData>
    <row r="1" spans="1:6" x14ac:dyDescent="0.3">
      <c r="A1" t="s">
        <v>5</v>
      </c>
      <c r="B1" t="s">
        <v>7</v>
      </c>
      <c r="C1" t="s">
        <v>8</v>
      </c>
      <c r="D1" t="s">
        <v>9</v>
      </c>
      <c r="E1" t="s">
        <v>40</v>
      </c>
      <c r="F1" s="1" t="s">
        <v>41</v>
      </c>
    </row>
    <row r="2" spans="1:6" x14ac:dyDescent="0.3">
      <c r="A2">
        <v>2004</v>
      </c>
      <c r="B2" t="s">
        <v>13</v>
      </c>
      <c r="C2">
        <v>1</v>
      </c>
      <c r="E2">
        <v>1</v>
      </c>
    </row>
    <row r="3" spans="1:6" x14ac:dyDescent="0.3">
      <c r="A3">
        <v>2005</v>
      </c>
      <c r="B3" t="s">
        <v>13</v>
      </c>
      <c r="C3">
        <v>1</v>
      </c>
      <c r="E3">
        <v>1</v>
      </c>
    </row>
    <row r="4" spans="1:6" x14ac:dyDescent="0.3">
      <c r="A4">
        <v>2006</v>
      </c>
      <c r="B4" t="s">
        <v>13</v>
      </c>
      <c r="C4">
        <v>1</v>
      </c>
      <c r="D4">
        <v>11</v>
      </c>
      <c r="E4">
        <v>12</v>
      </c>
      <c r="F4" s="1">
        <v>8.3333333333333301E-2</v>
      </c>
    </row>
    <row r="5" spans="1:6" x14ac:dyDescent="0.3">
      <c r="A5">
        <v>2007</v>
      </c>
      <c r="B5" t="s">
        <v>13</v>
      </c>
      <c r="C5">
        <v>1</v>
      </c>
      <c r="D5">
        <v>37</v>
      </c>
      <c r="E5">
        <v>38</v>
      </c>
      <c r="F5" s="1">
        <v>2.6315789473684199E-2</v>
      </c>
    </row>
    <row r="6" spans="1:6" x14ac:dyDescent="0.3">
      <c r="A6">
        <v>2008</v>
      </c>
      <c r="B6" t="s">
        <v>13</v>
      </c>
      <c r="C6">
        <v>1</v>
      </c>
      <c r="D6">
        <v>82</v>
      </c>
      <c r="E6">
        <v>83</v>
      </c>
      <c r="F6" s="1">
        <v>1.20481927710843E-2</v>
      </c>
    </row>
    <row r="7" spans="1:6" x14ac:dyDescent="0.3">
      <c r="A7">
        <v>2009</v>
      </c>
      <c r="B7" t="s">
        <v>13</v>
      </c>
      <c r="C7">
        <v>2</v>
      </c>
      <c r="D7">
        <v>112</v>
      </c>
      <c r="E7">
        <v>114</v>
      </c>
      <c r="F7" s="1">
        <v>1.7543859649122799E-2</v>
      </c>
    </row>
    <row r="8" spans="1:6" x14ac:dyDescent="0.3">
      <c r="A8">
        <v>2010</v>
      </c>
      <c r="B8" t="s">
        <v>13</v>
      </c>
      <c r="C8">
        <v>5</v>
      </c>
      <c r="D8">
        <v>138</v>
      </c>
      <c r="E8">
        <v>143</v>
      </c>
      <c r="F8" s="1">
        <v>3.4965034965035002E-2</v>
      </c>
    </row>
    <row r="9" spans="1:6" x14ac:dyDescent="0.3">
      <c r="A9">
        <v>2011</v>
      </c>
      <c r="B9" t="s">
        <v>13</v>
      </c>
      <c r="C9">
        <v>10</v>
      </c>
      <c r="D9">
        <v>153</v>
      </c>
      <c r="E9">
        <v>163</v>
      </c>
      <c r="F9" s="1">
        <v>6.13496932515337E-2</v>
      </c>
    </row>
    <row r="10" spans="1:6" x14ac:dyDescent="0.3">
      <c r="A10">
        <v>2012</v>
      </c>
      <c r="B10" t="s">
        <v>13</v>
      </c>
      <c r="C10">
        <v>19</v>
      </c>
      <c r="D10">
        <v>195</v>
      </c>
      <c r="E10">
        <v>214</v>
      </c>
      <c r="F10" s="1">
        <v>8.8785046728972E-2</v>
      </c>
    </row>
    <row r="11" spans="1:6" x14ac:dyDescent="0.3">
      <c r="A11">
        <v>2013</v>
      </c>
      <c r="B11" t="s">
        <v>13</v>
      </c>
      <c r="C11">
        <v>34</v>
      </c>
      <c r="D11">
        <v>259</v>
      </c>
      <c r="E11">
        <v>293</v>
      </c>
      <c r="F11" s="1">
        <v>0.116040955631399</v>
      </c>
    </row>
    <row r="12" spans="1:6" x14ac:dyDescent="0.3">
      <c r="A12">
        <v>2014</v>
      </c>
      <c r="B12" t="s">
        <v>13</v>
      </c>
      <c r="C12">
        <v>55</v>
      </c>
      <c r="D12">
        <v>326</v>
      </c>
      <c r="E12">
        <v>381</v>
      </c>
      <c r="F12" s="1">
        <v>0.144356955380577</v>
      </c>
    </row>
    <row r="13" spans="1:6" x14ac:dyDescent="0.3">
      <c r="A13">
        <v>2015</v>
      </c>
      <c r="B13" t="s">
        <v>13</v>
      </c>
      <c r="C13">
        <v>93</v>
      </c>
      <c r="D13">
        <v>396</v>
      </c>
      <c r="E13">
        <v>489</v>
      </c>
      <c r="F13" s="1">
        <v>0.190184049079755</v>
      </c>
    </row>
    <row r="14" spans="1:6" x14ac:dyDescent="0.3">
      <c r="A14">
        <v>2016</v>
      </c>
      <c r="B14" t="s">
        <v>13</v>
      </c>
      <c r="C14">
        <v>188</v>
      </c>
      <c r="D14">
        <v>500</v>
      </c>
      <c r="E14">
        <v>688</v>
      </c>
      <c r="F14" s="1">
        <v>0.27325581395348802</v>
      </c>
    </row>
    <row r="15" spans="1:6" x14ac:dyDescent="0.3">
      <c r="A15">
        <v>2017</v>
      </c>
      <c r="B15" t="s">
        <v>13</v>
      </c>
      <c r="C15">
        <v>338</v>
      </c>
      <c r="D15">
        <v>732</v>
      </c>
      <c r="E15">
        <v>1070</v>
      </c>
      <c r="F15" s="1">
        <v>0.31588785046729001</v>
      </c>
    </row>
    <row r="16" spans="1:6" x14ac:dyDescent="0.3">
      <c r="A16">
        <v>2018</v>
      </c>
      <c r="B16" t="s">
        <v>13</v>
      </c>
      <c r="C16">
        <v>490</v>
      </c>
      <c r="D16">
        <v>959</v>
      </c>
      <c r="E16">
        <v>1449</v>
      </c>
      <c r="F16" s="1">
        <v>0.33816425120773003</v>
      </c>
    </row>
    <row r="17" spans="1:6" x14ac:dyDescent="0.3">
      <c r="A17">
        <v>2019</v>
      </c>
      <c r="B17" t="s">
        <v>13</v>
      </c>
      <c r="C17">
        <v>728</v>
      </c>
      <c r="D17">
        <v>1395</v>
      </c>
      <c r="E17">
        <v>2123</v>
      </c>
      <c r="F17" s="1">
        <v>0.34291097503532703</v>
      </c>
    </row>
    <row r="18" spans="1:6" x14ac:dyDescent="0.3">
      <c r="A18">
        <v>2020</v>
      </c>
      <c r="B18" t="s">
        <v>13</v>
      </c>
      <c r="C18">
        <v>1151</v>
      </c>
      <c r="D18">
        <v>2327</v>
      </c>
      <c r="E18">
        <v>3478</v>
      </c>
      <c r="F18" s="1">
        <v>0.33093732029902201</v>
      </c>
    </row>
    <row r="19" spans="1:6" x14ac:dyDescent="0.3">
      <c r="A19">
        <v>2021</v>
      </c>
      <c r="B19" t="s">
        <v>13</v>
      </c>
      <c r="C19">
        <v>2172</v>
      </c>
      <c r="D19">
        <v>3935</v>
      </c>
      <c r="E19">
        <v>6107</v>
      </c>
      <c r="F19" s="1">
        <v>0.35565744227935198</v>
      </c>
    </row>
    <row r="20" spans="1:6" x14ac:dyDescent="0.3">
      <c r="A20">
        <v>2022</v>
      </c>
      <c r="B20" t="s">
        <v>13</v>
      </c>
      <c r="C20">
        <v>3420</v>
      </c>
      <c r="D20">
        <v>5570</v>
      </c>
      <c r="E20">
        <v>8990</v>
      </c>
      <c r="F20" s="1">
        <v>0.38042269187986599</v>
      </c>
    </row>
    <row r="21" spans="1:6" x14ac:dyDescent="0.3">
      <c r="A21">
        <v>2023</v>
      </c>
      <c r="B21" t="s">
        <v>13</v>
      </c>
      <c r="C21">
        <v>4724</v>
      </c>
      <c r="D21">
        <v>7408</v>
      </c>
      <c r="E21">
        <v>12132</v>
      </c>
      <c r="F21" s="1">
        <v>0.38938344873063002</v>
      </c>
    </row>
    <row r="22" spans="1:6" x14ac:dyDescent="0.3">
      <c r="A22">
        <v>2004</v>
      </c>
      <c r="B22" t="s">
        <v>17</v>
      </c>
      <c r="C22">
        <v>13</v>
      </c>
      <c r="E22">
        <v>13</v>
      </c>
    </row>
    <row r="23" spans="1:6" x14ac:dyDescent="0.3">
      <c r="A23">
        <v>2005</v>
      </c>
      <c r="B23" t="s">
        <v>17</v>
      </c>
      <c r="C23">
        <v>15</v>
      </c>
      <c r="E23">
        <v>15</v>
      </c>
    </row>
    <row r="24" spans="1:6" x14ac:dyDescent="0.3">
      <c r="A24">
        <v>2006</v>
      </c>
      <c r="B24" t="s">
        <v>17</v>
      </c>
      <c r="C24">
        <v>17</v>
      </c>
      <c r="D24">
        <v>23</v>
      </c>
      <c r="E24">
        <v>40</v>
      </c>
      <c r="F24" s="1">
        <v>0.42499999999999999</v>
      </c>
    </row>
    <row r="25" spans="1:6" x14ac:dyDescent="0.3">
      <c r="A25">
        <v>2007</v>
      </c>
      <c r="B25" t="s">
        <v>17</v>
      </c>
      <c r="C25">
        <v>17</v>
      </c>
      <c r="D25">
        <v>61</v>
      </c>
      <c r="E25">
        <v>78</v>
      </c>
      <c r="F25" s="1">
        <v>0.21794871794871801</v>
      </c>
    </row>
    <row r="26" spans="1:6" x14ac:dyDescent="0.3">
      <c r="A26">
        <v>2008</v>
      </c>
      <c r="B26" t="s">
        <v>17</v>
      </c>
      <c r="C26">
        <v>34</v>
      </c>
      <c r="D26">
        <v>116</v>
      </c>
      <c r="E26">
        <v>150</v>
      </c>
      <c r="F26" s="1">
        <v>0.22666666666666699</v>
      </c>
    </row>
    <row r="27" spans="1:6" x14ac:dyDescent="0.3">
      <c r="A27">
        <v>2009</v>
      </c>
      <c r="B27" t="s">
        <v>17</v>
      </c>
      <c r="C27">
        <v>46</v>
      </c>
      <c r="D27">
        <v>158</v>
      </c>
      <c r="E27">
        <v>204</v>
      </c>
      <c r="F27" s="1">
        <v>0.22549019607843099</v>
      </c>
    </row>
    <row r="28" spans="1:6" x14ac:dyDescent="0.3">
      <c r="A28">
        <v>2010</v>
      </c>
      <c r="B28" t="s">
        <v>17</v>
      </c>
      <c r="C28">
        <v>55</v>
      </c>
      <c r="D28">
        <v>216</v>
      </c>
      <c r="E28">
        <v>271</v>
      </c>
      <c r="F28" s="1">
        <v>0.20295202952029501</v>
      </c>
    </row>
    <row r="29" spans="1:6" x14ac:dyDescent="0.3">
      <c r="A29">
        <v>2011</v>
      </c>
      <c r="B29" t="s">
        <v>17</v>
      </c>
      <c r="C29">
        <v>99</v>
      </c>
      <c r="D29">
        <v>261</v>
      </c>
      <c r="E29">
        <v>360</v>
      </c>
      <c r="F29" s="1">
        <v>0.27500000000000002</v>
      </c>
    </row>
    <row r="30" spans="1:6" x14ac:dyDescent="0.3">
      <c r="A30">
        <v>2012</v>
      </c>
      <c r="B30" t="s">
        <v>17</v>
      </c>
      <c r="C30">
        <v>141</v>
      </c>
      <c r="D30">
        <v>358</v>
      </c>
      <c r="E30">
        <v>499</v>
      </c>
      <c r="F30" s="1">
        <v>0.28256513026052099</v>
      </c>
    </row>
    <row r="31" spans="1:6" x14ac:dyDescent="0.3">
      <c r="A31">
        <v>2013</v>
      </c>
      <c r="B31" t="s">
        <v>17</v>
      </c>
      <c r="C31">
        <v>203</v>
      </c>
      <c r="D31">
        <v>478</v>
      </c>
      <c r="E31">
        <v>681</v>
      </c>
      <c r="F31" s="1">
        <v>0.29809104258443497</v>
      </c>
    </row>
    <row r="32" spans="1:6" x14ac:dyDescent="0.3">
      <c r="A32">
        <v>2014</v>
      </c>
      <c r="B32" t="s">
        <v>17</v>
      </c>
      <c r="C32">
        <v>264</v>
      </c>
      <c r="D32">
        <v>611</v>
      </c>
      <c r="E32">
        <v>875</v>
      </c>
      <c r="F32" s="1">
        <v>0.30171428571428599</v>
      </c>
    </row>
    <row r="33" spans="1:6" x14ac:dyDescent="0.3">
      <c r="A33">
        <v>2015</v>
      </c>
      <c r="B33" t="s">
        <v>17</v>
      </c>
      <c r="C33">
        <v>341</v>
      </c>
      <c r="D33">
        <v>755</v>
      </c>
      <c r="E33">
        <v>1096</v>
      </c>
      <c r="F33" s="1">
        <v>0.31113138686131397</v>
      </c>
    </row>
    <row r="34" spans="1:6" x14ac:dyDescent="0.3">
      <c r="A34">
        <v>2016</v>
      </c>
      <c r="B34" t="s">
        <v>17</v>
      </c>
      <c r="C34">
        <v>518</v>
      </c>
      <c r="D34">
        <v>963</v>
      </c>
      <c r="E34">
        <v>1481</v>
      </c>
      <c r="F34" s="1">
        <v>0.34976367319378798</v>
      </c>
    </row>
    <row r="35" spans="1:6" x14ac:dyDescent="0.3">
      <c r="A35">
        <v>2017</v>
      </c>
      <c r="B35" t="s">
        <v>17</v>
      </c>
      <c r="C35">
        <v>805</v>
      </c>
      <c r="D35">
        <v>1302</v>
      </c>
      <c r="E35">
        <v>2107</v>
      </c>
      <c r="F35" s="1">
        <v>0.382059800664452</v>
      </c>
    </row>
    <row r="36" spans="1:6" x14ac:dyDescent="0.3">
      <c r="A36">
        <v>2018</v>
      </c>
      <c r="B36" t="s">
        <v>17</v>
      </c>
      <c r="C36">
        <v>1092</v>
      </c>
      <c r="D36">
        <v>1708</v>
      </c>
      <c r="E36">
        <v>2800</v>
      </c>
      <c r="F36" s="1">
        <v>0.39</v>
      </c>
    </row>
    <row r="37" spans="1:6" x14ac:dyDescent="0.3">
      <c r="A37">
        <v>2019</v>
      </c>
      <c r="B37" t="s">
        <v>17</v>
      </c>
      <c r="C37">
        <v>1492</v>
      </c>
      <c r="D37">
        <v>2585</v>
      </c>
      <c r="E37">
        <v>4077</v>
      </c>
      <c r="F37" s="1">
        <v>0.36595535933284301</v>
      </c>
    </row>
    <row r="38" spans="1:6" x14ac:dyDescent="0.3">
      <c r="A38">
        <v>2020</v>
      </c>
      <c r="B38" t="s">
        <v>17</v>
      </c>
      <c r="C38">
        <v>2241</v>
      </c>
      <c r="D38">
        <v>4298</v>
      </c>
      <c r="E38">
        <v>6539</v>
      </c>
      <c r="F38" s="1">
        <v>0.34271295305092497</v>
      </c>
    </row>
    <row r="39" spans="1:6" x14ac:dyDescent="0.3">
      <c r="A39">
        <v>2021</v>
      </c>
      <c r="B39" t="s">
        <v>17</v>
      </c>
      <c r="C39">
        <v>3703</v>
      </c>
      <c r="D39">
        <v>7579</v>
      </c>
      <c r="E39">
        <v>11282</v>
      </c>
      <c r="F39" s="1">
        <v>0.32822194646339298</v>
      </c>
    </row>
    <row r="40" spans="1:6" x14ac:dyDescent="0.3">
      <c r="A40">
        <v>2022</v>
      </c>
      <c r="B40" t="s">
        <v>17</v>
      </c>
      <c r="C40">
        <v>5388</v>
      </c>
      <c r="D40">
        <v>10603</v>
      </c>
      <c r="E40">
        <v>15991</v>
      </c>
      <c r="F40" s="1">
        <v>0.33693952848477299</v>
      </c>
    </row>
    <row r="41" spans="1:6" x14ac:dyDescent="0.3">
      <c r="A41">
        <v>2023</v>
      </c>
      <c r="B41" t="s">
        <v>17</v>
      </c>
      <c r="C41">
        <v>7644</v>
      </c>
      <c r="D41">
        <v>14501</v>
      </c>
      <c r="E41">
        <v>22145</v>
      </c>
      <c r="F41" s="1">
        <v>0.34517949875818499</v>
      </c>
    </row>
    <row r="42" spans="1:6" x14ac:dyDescent="0.3">
      <c r="A42">
        <v>2004</v>
      </c>
      <c r="B42" t="s">
        <v>20</v>
      </c>
      <c r="C42">
        <v>40</v>
      </c>
      <c r="E42">
        <v>40</v>
      </c>
    </row>
    <row r="43" spans="1:6" x14ac:dyDescent="0.3">
      <c r="A43">
        <v>2005</v>
      </c>
      <c r="B43" t="s">
        <v>20</v>
      </c>
      <c r="C43">
        <v>46</v>
      </c>
      <c r="E43">
        <v>46</v>
      </c>
    </row>
    <row r="44" spans="1:6" x14ac:dyDescent="0.3">
      <c r="A44">
        <v>2006</v>
      </c>
      <c r="B44" t="s">
        <v>20</v>
      </c>
      <c r="C44">
        <v>49</v>
      </c>
      <c r="D44">
        <v>98</v>
      </c>
      <c r="E44">
        <v>147</v>
      </c>
      <c r="F44" s="1">
        <v>0.33333333333333298</v>
      </c>
    </row>
    <row r="45" spans="1:6" x14ac:dyDescent="0.3">
      <c r="A45">
        <v>2007</v>
      </c>
      <c r="B45" t="s">
        <v>20</v>
      </c>
      <c r="C45">
        <v>51</v>
      </c>
      <c r="D45">
        <v>263</v>
      </c>
      <c r="E45">
        <v>314</v>
      </c>
      <c r="F45" s="1">
        <v>0.162420382165605</v>
      </c>
    </row>
    <row r="46" spans="1:6" x14ac:dyDescent="0.3">
      <c r="A46">
        <v>2008</v>
      </c>
      <c r="B46" t="s">
        <v>20</v>
      </c>
      <c r="C46">
        <v>52</v>
      </c>
      <c r="D46">
        <v>584</v>
      </c>
      <c r="E46">
        <v>636</v>
      </c>
      <c r="F46" s="1">
        <v>8.17610062893082E-2</v>
      </c>
    </row>
    <row r="47" spans="1:6" x14ac:dyDescent="0.3">
      <c r="A47">
        <v>2009</v>
      </c>
      <c r="B47" t="s">
        <v>20</v>
      </c>
      <c r="C47">
        <v>65</v>
      </c>
      <c r="D47">
        <v>775</v>
      </c>
      <c r="E47">
        <v>840</v>
      </c>
      <c r="F47" s="1">
        <v>7.7380952380952397E-2</v>
      </c>
    </row>
    <row r="48" spans="1:6" x14ac:dyDescent="0.3">
      <c r="A48">
        <v>2010</v>
      </c>
      <c r="B48" t="s">
        <v>20</v>
      </c>
      <c r="C48">
        <v>78</v>
      </c>
      <c r="D48">
        <v>1042</v>
      </c>
      <c r="E48">
        <v>1120</v>
      </c>
      <c r="F48" s="1">
        <v>6.9642857142857201E-2</v>
      </c>
    </row>
    <row r="49" spans="1:6" x14ac:dyDescent="0.3">
      <c r="A49">
        <v>2011</v>
      </c>
      <c r="B49" t="s">
        <v>20</v>
      </c>
      <c r="C49">
        <v>128</v>
      </c>
      <c r="D49">
        <v>1295</v>
      </c>
      <c r="E49">
        <v>1423</v>
      </c>
      <c r="F49" s="1">
        <v>8.9950808151792003E-2</v>
      </c>
    </row>
    <row r="50" spans="1:6" x14ac:dyDescent="0.3">
      <c r="A50">
        <v>2012</v>
      </c>
      <c r="B50" t="s">
        <v>20</v>
      </c>
      <c r="C50">
        <v>207</v>
      </c>
      <c r="D50">
        <v>1656</v>
      </c>
      <c r="E50">
        <v>1863</v>
      </c>
      <c r="F50" s="1">
        <v>0.11111111111111099</v>
      </c>
    </row>
    <row r="51" spans="1:6" x14ac:dyDescent="0.3">
      <c r="A51">
        <v>2013</v>
      </c>
      <c r="B51" t="s">
        <v>20</v>
      </c>
      <c r="C51">
        <v>368</v>
      </c>
      <c r="D51">
        <v>2100</v>
      </c>
      <c r="E51">
        <v>2468</v>
      </c>
      <c r="F51" s="1">
        <v>0.14910858995137799</v>
      </c>
    </row>
    <row r="52" spans="1:6" x14ac:dyDescent="0.3">
      <c r="A52">
        <v>2014</v>
      </c>
      <c r="B52" t="s">
        <v>20</v>
      </c>
      <c r="C52">
        <v>731</v>
      </c>
      <c r="D52">
        <v>2561</v>
      </c>
      <c r="E52">
        <v>3292</v>
      </c>
      <c r="F52" s="1">
        <v>0.22205346294046199</v>
      </c>
    </row>
    <row r="53" spans="1:6" x14ac:dyDescent="0.3">
      <c r="A53">
        <v>2015</v>
      </c>
      <c r="B53" t="s">
        <v>20</v>
      </c>
      <c r="C53">
        <v>1157</v>
      </c>
      <c r="D53">
        <v>3163</v>
      </c>
      <c r="E53">
        <v>4320</v>
      </c>
      <c r="F53" s="1">
        <v>0.26782407407407399</v>
      </c>
    </row>
    <row r="54" spans="1:6" x14ac:dyDescent="0.3">
      <c r="A54">
        <v>2016</v>
      </c>
      <c r="B54" t="s">
        <v>20</v>
      </c>
      <c r="C54">
        <v>2058</v>
      </c>
      <c r="D54">
        <v>4032</v>
      </c>
      <c r="E54">
        <v>6090</v>
      </c>
      <c r="F54" s="1">
        <v>0.33793103448275902</v>
      </c>
    </row>
    <row r="55" spans="1:6" x14ac:dyDescent="0.3">
      <c r="A55">
        <v>2017</v>
      </c>
      <c r="B55" t="s">
        <v>20</v>
      </c>
      <c r="C55">
        <v>3290</v>
      </c>
      <c r="D55">
        <v>5479</v>
      </c>
      <c r="E55">
        <v>8769</v>
      </c>
      <c r="F55" s="1">
        <v>0.37518531189417298</v>
      </c>
    </row>
    <row r="56" spans="1:6" x14ac:dyDescent="0.3">
      <c r="A56">
        <v>2018</v>
      </c>
      <c r="B56" t="s">
        <v>20</v>
      </c>
      <c r="C56">
        <v>4750</v>
      </c>
      <c r="D56">
        <v>7229</v>
      </c>
      <c r="E56">
        <v>11979</v>
      </c>
      <c r="F56" s="1">
        <v>0.396527256031388</v>
      </c>
    </row>
    <row r="57" spans="1:6" x14ac:dyDescent="0.3">
      <c r="A57">
        <v>2019</v>
      </c>
      <c r="B57" t="s">
        <v>20</v>
      </c>
      <c r="C57">
        <v>6378</v>
      </c>
      <c r="D57">
        <v>10292</v>
      </c>
      <c r="E57">
        <v>16670</v>
      </c>
      <c r="F57" s="1">
        <v>0.38260347930413902</v>
      </c>
    </row>
    <row r="58" spans="1:6" x14ac:dyDescent="0.3">
      <c r="A58">
        <v>2020</v>
      </c>
      <c r="B58" t="s">
        <v>20</v>
      </c>
      <c r="C58">
        <v>9369</v>
      </c>
      <c r="D58">
        <v>16606</v>
      </c>
      <c r="E58">
        <v>25975</v>
      </c>
      <c r="F58" s="1">
        <v>0.360692974013474</v>
      </c>
    </row>
    <row r="59" spans="1:6" x14ac:dyDescent="0.3">
      <c r="A59">
        <v>2021</v>
      </c>
      <c r="B59" t="s">
        <v>20</v>
      </c>
      <c r="C59">
        <v>15377</v>
      </c>
      <c r="D59">
        <v>26998</v>
      </c>
      <c r="E59">
        <v>42375</v>
      </c>
      <c r="F59" s="1">
        <v>0.362879056047198</v>
      </c>
    </row>
    <row r="60" spans="1:6" x14ac:dyDescent="0.3">
      <c r="A60">
        <v>2022</v>
      </c>
      <c r="B60" t="s">
        <v>20</v>
      </c>
      <c r="C60">
        <v>21665</v>
      </c>
      <c r="D60">
        <v>37056</v>
      </c>
      <c r="E60">
        <v>58721</v>
      </c>
      <c r="F60" s="1">
        <v>0.36894807649733502</v>
      </c>
    </row>
    <row r="61" spans="1:6" x14ac:dyDescent="0.3">
      <c r="A61">
        <v>2023</v>
      </c>
      <c r="B61" t="s">
        <v>20</v>
      </c>
      <c r="C61">
        <v>30073</v>
      </c>
      <c r="D61">
        <v>48932</v>
      </c>
      <c r="E61">
        <v>79005</v>
      </c>
      <c r="F61" s="1">
        <v>0.38064679450667699</v>
      </c>
    </row>
    <row r="62" spans="1:6" x14ac:dyDescent="0.3">
      <c r="A62">
        <v>2004</v>
      </c>
      <c r="B62" t="s">
        <v>24</v>
      </c>
      <c r="C62">
        <v>8</v>
      </c>
      <c r="E62">
        <v>8</v>
      </c>
    </row>
    <row r="63" spans="1:6" x14ac:dyDescent="0.3">
      <c r="A63">
        <v>2005</v>
      </c>
      <c r="B63" t="s">
        <v>24</v>
      </c>
      <c r="C63">
        <v>4</v>
      </c>
      <c r="E63">
        <v>4</v>
      </c>
    </row>
    <row r="64" spans="1:6" x14ac:dyDescent="0.3">
      <c r="A64">
        <v>2006</v>
      </c>
      <c r="B64" t="s">
        <v>24</v>
      </c>
      <c r="C64">
        <v>6</v>
      </c>
      <c r="D64">
        <v>56</v>
      </c>
      <c r="E64">
        <v>62</v>
      </c>
      <c r="F64" s="1">
        <v>9.6774193548387094E-2</v>
      </c>
    </row>
    <row r="65" spans="1:6" x14ac:dyDescent="0.3">
      <c r="A65">
        <v>2007</v>
      </c>
      <c r="B65" t="s">
        <v>24</v>
      </c>
      <c r="C65">
        <v>9</v>
      </c>
      <c r="D65">
        <v>158</v>
      </c>
      <c r="E65">
        <v>167</v>
      </c>
      <c r="F65" s="1">
        <v>5.3892215568862298E-2</v>
      </c>
    </row>
    <row r="66" spans="1:6" x14ac:dyDescent="0.3">
      <c r="A66">
        <v>2008</v>
      </c>
      <c r="B66" t="s">
        <v>24</v>
      </c>
      <c r="C66">
        <v>9</v>
      </c>
      <c r="D66">
        <v>362</v>
      </c>
      <c r="E66">
        <v>371</v>
      </c>
      <c r="F66" s="1">
        <v>2.4258760107816701E-2</v>
      </c>
    </row>
    <row r="67" spans="1:6" x14ac:dyDescent="0.3">
      <c r="A67">
        <v>2009</v>
      </c>
      <c r="B67" t="s">
        <v>24</v>
      </c>
      <c r="C67">
        <v>11</v>
      </c>
      <c r="D67">
        <v>513</v>
      </c>
      <c r="E67">
        <v>524</v>
      </c>
      <c r="F67" s="1">
        <v>2.0992366412213699E-2</v>
      </c>
    </row>
    <row r="68" spans="1:6" x14ac:dyDescent="0.3">
      <c r="A68">
        <v>2010</v>
      </c>
      <c r="B68" t="s">
        <v>24</v>
      </c>
      <c r="C68">
        <v>19</v>
      </c>
      <c r="D68">
        <v>708</v>
      </c>
      <c r="E68">
        <v>727</v>
      </c>
      <c r="F68" s="1">
        <v>2.61348005502063E-2</v>
      </c>
    </row>
    <row r="69" spans="1:6" x14ac:dyDescent="0.3">
      <c r="A69">
        <v>2011</v>
      </c>
      <c r="B69" t="s">
        <v>24</v>
      </c>
      <c r="C69">
        <v>63</v>
      </c>
      <c r="D69">
        <v>922</v>
      </c>
      <c r="E69">
        <v>985</v>
      </c>
      <c r="F69" s="1">
        <v>6.3959390862944193E-2</v>
      </c>
    </row>
    <row r="70" spans="1:6" x14ac:dyDescent="0.3">
      <c r="A70">
        <v>2012</v>
      </c>
      <c r="B70" t="s">
        <v>24</v>
      </c>
      <c r="C70">
        <v>126</v>
      </c>
      <c r="D70">
        <v>1259</v>
      </c>
      <c r="E70">
        <v>1385</v>
      </c>
      <c r="F70" s="1">
        <v>9.09747292418773E-2</v>
      </c>
    </row>
    <row r="71" spans="1:6" x14ac:dyDescent="0.3">
      <c r="A71">
        <v>2013</v>
      </c>
      <c r="B71" t="s">
        <v>24</v>
      </c>
      <c r="C71">
        <v>254</v>
      </c>
      <c r="D71">
        <v>1629</v>
      </c>
      <c r="E71">
        <v>1883</v>
      </c>
      <c r="F71" s="1">
        <v>0.134891131173659</v>
      </c>
    </row>
    <row r="72" spans="1:6" x14ac:dyDescent="0.3">
      <c r="A72">
        <v>2014</v>
      </c>
      <c r="B72" t="s">
        <v>24</v>
      </c>
      <c r="C72">
        <v>471</v>
      </c>
      <c r="D72">
        <v>1943</v>
      </c>
      <c r="E72">
        <v>2414</v>
      </c>
      <c r="F72" s="1">
        <v>0.19511184755592401</v>
      </c>
    </row>
    <row r="73" spans="1:6" x14ac:dyDescent="0.3">
      <c r="A73">
        <v>2015</v>
      </c>
      <c r="B73" t="s">
        <v>24</v>
      </c>
      <c r="C73">
        <v>799</v>
      </c>
      <c r="D73">
        <v>2315</v>
      </c>
      <c r="E73">
        <v>3114</v>
      </c>
      <c r="F73" s="1">
        <v>0.25658317276814402</v>
      </c>
    </row>
    <row r="74" spans="1:6" x14ac:dyDescent="0.3">
      <c r="A74">
        <v>2016</v>
      </c>
      <c r="B74" t="s">
        <v>24</v>
      </c>
      <c r="C74">
        <v>1579</v>
      </c>
      <c r="D74">
        <v>2967</v>
      </c>
      <c r="E74">
        <v>4546</v>
      </c>
      <c r="F74" s="1">
        <v>0.34733831940167198</v>
      </c>
    </row>
    <row r="75" spans="1:6" x14ac:dyDescent="0.3">
      <c r="A75">
        <v>2017</v>
      </c>
      <c r="B75" t="s">
        <v>24</v>
      </c>
      <c r="C75">
        <v>2598</v>
      </c>
      <c r="D75">
        <v>3966</v>
      </c>
      <c r="E75">
        <v>6564</v>
      </c>
      <c r="F75" s="1">
        <v>0.39579524680073103</v>
      </c>
    </row>
    <row r="76" spans="1:6" x14ac:dyDescent="0.3">
      <c r="A76">
        <v>2018</v>
      </c>
      <c r="B76" t="s">
        <v>24</v>
      </c>
      <c r="C76">
        <v>3733</v>
      </c>
      <c r="D76">
        <v>5210</v>
      </c>
      <c r="E76">
        <v>8943</v>
      </c>
      <c r="F76" s="1">
        <v>0.41742144694174199</v>
      </c>
    </row>
    <row r="77" spans="1:6" x14ac:dyDescent="0.3">
      <c r="A77">
        <v>2019</v>
      </c>
      <c r="B77" t="s">
        <v>24</v>
      </c>
      <c r="C77">
        <v>5358</v>
      </c>
      <c r="D77">
        <v>7523</v>
      </c>
      <c r="E77">
        <v>12881</v>
      </c>
      <c r="F77" s="1">
        <v>0.41596149367285201</v>
      </c>
    </row>
    <row r="78" spans="1:6" x14ac:dyDescent="0.3">
      <c r="A78">
        <v>2020</v>
      </c>
      <c r="B78" t="s">
        <v>24</v>
      </c>
      <c r="C78">
        <v>8229</v>
      </c>
      <c r="D78">
        <v>12663</v>
      </c>
      <c r="E78">
        <v>20892</v>
      </c>
      <c r="F78" s="1">
        <v>0.39388282596209101</v>
      </c>
    </row>
    <row r="79" spans="1:6" x14ac:dyDescent="0.3">
      <c r="A79">
        <v>2021</v>
      </c>
      <c r="B79" t="s">
        <v>24</v>
      </c>
      <c r="C79">
        <v>15141</v>
      </c>
      <c r="D79">
        <v>21649</v>
      </c>
      <c r="E79">
        <v>36790</v>
      </c>
      <c r="F79" s="1">
        <v>0.41155205218809499</v>
      </c>
    </row>
    <row r="80" spans="1:6" x14ac:dyDescent="0.3">
      <c r="A80">
        <v>2022</v>
      </c>
      <c r="B80" t="s">
        <v>24</v>
      </c>
      <c r="C80">
        <v>21746</v>
      </c>
      <c r="D80">
        <v>30551</v>
      </c>
      <c r="E80">
        <v>52297</v>
      </c>
      <c r="F80" s="1">
        <v>0.41581735089966898</v>
      </c>
    </row>
    <row r="81" spans="1:6" x14ac:dyDescent="0.3">
      <c r="A81">
        <v>2023</v>
      </c>
      <c r="B81" t="s">
        <v>24</v>
      </c>
      <c r="C81">
        <v>30291</v>
      </c>
      <c r="D81">
        <v>40680</v>
      </c>
      <c r="E81">
        <v>70971</v>
      </c>
      <c r="F81" s="1">
        <v>0.42680813289935299</v>
      </c>
    </row>
    <row r="82" spans="1:6" x14ac:dyDescent="0.3">
      <c r="A82">
        <v>2004</v>
      </c>
      <c r="B82" t="s">
        <v>27</v>
      </c>
      <c r="C82">
        <v>9</v>
      </c>
      <c r="E82">
        <v>9</v>
      </c>
    </row>
    <row r="83" spans="1:6" x14ac:dyDescent="0.3">
      <c r="A83">
        <v>2005</v>
      </c>
      <c r="B83" t="s">
        <v>27</v>
      </c>
      <c r="C83">
        <v>7</v>
      </c>
      <c r="E83">
        <v>7</v>
      </c>
    </row>
    <row r="84" spans="1:6" x14ac:dyDescent="0.3">
      <c r="A84">
        <v>2006</v>
      </c>
      <c r="B84" t="s">
        <v>27</v>
      </c>
      <c r="C84">
        <v>3</v>
      </c>
      <c r="D84">
        <v>22</v>
      </c>
      <c r="E84">
        <v>25</v>
      </c>
      <c r="F84" s="1">
        <v>0.12</v>
      </c>
    </row>
    <row r="85" spans="1:6" x14ac:dyDescent="0.3">
      <c r="A85">
        <v>2007</v>
      </c>
      <c r="B85" t="s">
        <v>27</v>
      </c>
      <c r="C85">
        <v>3</v>
      </c>
      <c r="D85">
        <v>73</v>
      </c>
      <c r="E85">
        <v>76</v>
      </c>
      <c r="F85" s="1">
        <v>3.94736842105263E-2</v>
      </c>
    </row>
    <row r="86" spans="1:6" x14ac:dyDescent="0.3">
      <c r="A86">
        <v>2008</v>
      </c>
      <c r="B86" t="s">
        <v>27</v>
      </c>
      <c r="C86">
        <v>2</v>
      </c>
      <c r="D86">
        <v>147</v>
      </c>
      <c r="E86">
        <v>149</v>
      </c>
      <c r="F86" s="1">
        <v>1.34228187919463E-2</v>
      </c>
    </row>
    <row r="87" spans="1:6" x14ac:dyDescent="0.3">
      <c r="A87">
        <v>2009</v>
      </c>
      <c r="B87" t="s">
        <v>27</v>
      </c>
      <c r="C87">
        <v>4</v>
      </c>
      <c r="D87">
        <v>202</v>
      </c>
      <c r="E87">
        <v>206</v>
      </c>
      <c r="F87" s="1">
        <v>1.94174757281553E-2</v>
      </c>
    </row>
    <row r="88" spans="1:6" x14ac:dyDescent="0.3">
      <c r="A88">
        <v>2010</v>
      </c>
      <c r="B88" t="s">
        <v>27</v>
      </c>
      <c r="C88">
        <v>44</v>
      </c>
      <c r="D88">
        <v>278</v>
      </c>
      <c r="E88">
        <v>322</v>
      </c>
      <c r="F88" s="1">
        <v>0.13664596273291901</v>
      </c>
    </row>
    <row r="89" spans="1:6" x14ac:dyDescent="0.3">
      <c r="A89">
        <v>2011</v>
      </c>
      <c r="B89" t="s">
        <v>27</v>
      </c>
      <c r="C89">
        <v>142</v>
      </c>
      <c r="D89">
        <v>374</v>
      </c>
      <c r="E89">
        <v>516</v>
      </c>
      <c r="F89" s="1">
        <v>0.275193798449612</v>
      </c>
    </row>
    <row r="90" spans="1:6" x14ac:dyDescent="0.3">
      <c r="A90">
        <v>2012</v>
      </c>
      <c r="B90" t="s">
        <v>27</v>
      </c>
      <c r="C90">
        <v>191</v>
      </c>
      <c r="D90">
        <v>504</v>
      </c>
      <c r="E90">
        <v>695</v>
      </c>
      <c r="F90" s="1">
        <v>0.27482014388489201</v>
      </c>
    </row>
    <row r="91" spans="1:6" x14ac:dyDescent="0.3">
      <c r="A91">
        <v>2013</v>
      </c>
      <c r="B91" t="s">
        <v>27</v>
      </c>
      <c r="C91">
        <v>266</v>
      </c>
      <c r="D91">
        <v>693</v>
      </c>
      <c r="E91">
        <v>959</v>
      </c>
      <c r="F91" s="1">
        <v>0.27737226277372301</v>
      </c>
    </row>
    <row r="92" spans="1:6" x14ac:dyDescent="0.3">
      <c r="A92">
        <v>2014</v>
      </c>
      <c r="B92" t="s">
        <v>27</v>
      </c>
      <c r="C92">
        <v>393</v>
      </c>
      <c r="D92">
        <v>828</v>
      </c>
      <c r="E92">
        <v>1221</v>
      </c>
      <c r="F92" s="1">
        <v>0.32186732186732198</v>
      </c>
    </row>
    <row r="93" spans="1:6" x14ac:dyDescent="0.3">
      <c r="A93">
        <v>2015</v>
      </c>
      <c r="B93" t="s">
        <v>27</v>
      </c>
      <c r="C93">
        <v>526</v>
      </c>
      <c r="D93">
        <v>1061</v>
      </c>
      <c r="E93">
        <v>1587</v>
      </c>
      <c r="F93" s="1">
        <v>0.331442974165091</v>
      </c>
    </row>
    <row r="94" spans="1:6" x14ac:dyDescent="0.3">
      <c r="A94">
        <v>2016</v>
      </c>
      <c r="B94" t="s">
        <v>27</v>
      </c>
      <c r="C94">
        <v>850</v>
      </c>
      <c r="D94">
        <v>1396</v>
      </c>
      <c r="E94">
        <v>2246</v>
      </c>
      <c r="F94" s="1">
        <v>0.37845057880676802</v>
      </c>
    </row>
    <row r="95" spans="1:6" x14ac:dyDescent="0.3">
      <c r="A95">
        <v>2017</v>
      </c>
      <c r="B95" t="s">
        <v>27</v>
      </c>
      <c r="C95">
        <v>1267</v>
      </c>
      <c r="D95">
        <v>1826</v>
      </c>
      <c r="E95">
        <v>3093</v>
      </c>
      <c r="F95" s="1">
        <v>0.40963465890721001</v>
      </c>
    </row>
    <row r="96" spans="1:6" x14ac:dyDescent="0.3">
      <c r="A96">
        <v>2018</v>
      </c>
      <c r="B96" t="s">
        <v>27</v>
      </c>
      <c r="C96">
        <v>1700</v>
      </c>
      <c r="D96">
        <v>2491</v>
      </c>
      <c r="E96">
        <v>4191</v>
      </c>
      <c r="F96" s="1">
        <v>0.40563111429253201</v>
      </c>
    </row>
    <row r="97" spans="1:6" x14ac:dyDescent="0.3">
      <c r="A97">
        <v>2019</v>
      </c>
      <c r="B97" t="s">
        <v>27</v>
      </c>
      <c r="C97">
        <v>2268</v>
      </c>
      <c r="D97">
        <v>3461</v>
      </c>
      <c r="E97">
        <v>5729</v>
      </c>
      <c r="F97" s="1">
        <v>0.39588060743585302</v>
      </c>
    </row>
    <row r="98" spans="1:6" x14ac:dyDescent="0.3">
      <c r="A98">
        <v>2020</v>
      </c>
      <c r="B98" t="s">
        <v>27</v>
      </c>
      <c r="C98">
        <v>3600</v>
      </c>
      <c r="D98">
        <v>5970</v>
      </c>
      <c r="E98">
        <v>9570</v>
      </c>
      <c r="F98" s="1">
        <v>0.37617554858934199</v>
      </c>
    </row>
    <row r="99" spans="1:6" x14ac:dyDescent="0.3">
      <c r="A99">
        <v>2021</v>
      </c>
      <c r="B99" t="s">
        <v>27</v>
      </c>
      <c r="C99">
        <v>6383</v>
      </c>
      <c r="D99">
        <v>9957</v>
      </c>
      <c r="E99">
        <v>16340</v>
      </c>
      <c r="F99" s="1">
        <v>0.39063647490820103</v>
      </c>
    </row>
    <row r="100" spans="1:6" x14ac:dyDescent="0.3">
      <c r="A100">
        <v>2022</v>
      </c>
      <c r="B100" t="s">
        <v>27</v>
      </c>
      <c r="C100">
        <v>8957</v>
      </c>
      <c r="D100">
        <v>13892</v>
      </c>
      <c r="E100">
        <v>22849</v>
      </c>
      <c r="F100" s="1">
        <v>0.39200840299356599</v>
      </c>
    </row>
    <row r="101" spans="1:6" x14ac:dyDescent="0.3">
      <c r="A101">
        <v>2023</v>
      </c>
      <c r="B101" t="s">
        <v>27</v>
      </c>
      <c r="C101">
        <v>12220</v>
      </c>
      <c r="D101">
        <v>18356</v>
      </c>
      <c r="E101">
        <v>30576</v>
      </c>
      <c r="F101" s="1">
        <v>0.39965986394557801</v>
      </c>
    </row>
    <row r="102" spans="1:6" x14ac:dyDescent="0.3">
      <c r="A102">
        <v>2004</v>
      </c>
      <c r="B102" t="s">
        <v>30</v>
      </c>
      <c r="C102">
        <v>12</v>
      </c>
      <c r="E102">
        <v>12</v>
      </c>
    </row>
    <row r="103" spans="1:6" x14ac:dyDescent="0.3">
      <c r="A103">
        <v>2005</v>
      </c>
      <c r="B103" t="s">
        <v>30</v>
      </c>
      <c r="C103">
        <v>11</v>
      </c>
      <c r="E103">
        <v>11</v>
      </c>
    </row>
    <row r="104" spans="1:6" x14ac:dyDescent="0.3">
      <c r="A104">
        <v>2006</v>
      </c>
      <c r="B104" t="s">
        <v>30</v>
      </c>
      <c r="C104">
        <v>10</v>
      </c>
      <c r="D104">
        <v>45</v>
      </c>
      <c r="E104">
        <v>55</v>
      </c>
      <c r="F104" s="1">
        <v>0.18181818181818199</v>
      </c>
    </row>
    <row r="105" spans="1:6" x14ac:dyDescent="0.3">
      <c r="A105">
        <v>2007</v>
      </c>
      <c r="B105" t="s">
        <v>30</v>
      </c>
      <c r="C105">
        <v>10</v>
      </c>
      <c r="D105">
        <v>132</v>
      </c>
      <c r="E105">
        <v>142</v>
      </c>
      <c r="F105" s="1">
        <v>7.0422535211267595E-2</v>
      </c>
    </row>
    <row r="106" spans="1:6" x14ac:dyDescent="0.3">
      <c r="A106">
        <v>2008</v>
      </c>
      <c r="B106" t="s">
        <v>30</v>
      </c>
      <c r="C106">
        <v>11</v>
      </c>
      <c r="D106">
        <v>291</v>
      </c>
      <c r="E106">
        <v>302</v>
      </c>
      <c r="F106" s="1">
        <v>3.6423841059602599E-2</v>
      </c>
    </row>
    <row r="107" spans="1:6" x14ac:dyDescent="0.3">
      <c r="A107">
        <v>2009</v>
      </c>
      <c r="B107" t="s">
        <v>30</v>
      </c>
      <c r="C107">
        <v>15</v>
      </c>
      <c r="D107">
        <v>388</v>
      </c>
      <c r="E107">
        <v>403</v>
      </c>
      <c r="F107" s="1">
        <v>3.7220843672456601E-2</v>
      </c>
    </row>
    <row r="108" spans="1:6" x14ac:dyDescent="0.3">
      <c r="A108">
        <v>2010</v>
      </c>
      <c r="B108" t="s">
        <v>30</v>
      </c>
      <c r="C108">
        <v>18</v>
      </c>
      <c r="D108">
        <v>531</v>
      </c>
      <c r="E108">
        <v>549</v>
      </c>
      <c r="F108" s="1">
        <v>3.2786885245901599E-2</v>
      </c>
    </row>
    <row r="109" spans="1:6" x14ac:dyDescent="0.3">
      <c r="A109">
        <v>2011</v>
      </c>
      <c r="B109" t="s">
        <v>30</v>
      </c>
      <c r="C109">
        <v>47</v>
      </c>
      <c r="D109">
        <v>664</v>
      </c>
      <c r="E109">
        <v>711</v>
      </c>
      <c r="F109" s="1">
        <v>6.6104078762306603E-2</v>
      </c>
    </row>
    <row r="110" spans="1:6" x14ac:dyDescent="0.3">
      <c r="A110">
        <v>2012</v>
      </c>
      <c r="B110" t="s">
        <v>30</v>
      </c>
      <c r="C110">
        <v>110</v>
      </c>
      <c r="D110">
        <v>939</v>
      </c>
      <c r="E110">
        <v>1049</v>
      </c>
      <c r="F110" s="1">
        <v>0.104861773117255</v>
      </c>
    </row>
    <row r="111" spans="1:6" x14ac:dyDescent="0.3">
      <c r="A111">
        <v>2013</v>
      </c>
      <c r="B111" t="s">
        <v>30</v>
      </c>
      <c r="C111">
        <v>233</v>
      </c>
      <c r="D111">
        <v>1168</v>
      </c>
      <c r="E111">
        <v>1401</v>
      </c>
      <c r="F111" s="1">
        <v>0.166309778729479</v>
      </c>
    </row>
    <row r="112" spans="1:6" x14ac:dyDescent="0.3">
      <c r="A112">
        <v>2014</v>
      </c>
      <c r="B112" t="s">
        <v>30</v>
      </c>
      <c r="C112">
        <v>483</v>
      </c>
      <c r="D112">
        <v>1389</v>
      </c>
      <c r="E112">
        <v>1872</v>
      </c>
      <c r="F112" s="1">
        <v>0.25801282051282098</v>
      </c>
    </row>
    <row r="113" spans="1:6" x14ac:dyDescent="0.3">
      <c r="A113">
        <v>2015</v>
      </c>
      <c r="B113" t="s">
        <v>30</v>
      </c>
      <c r="C113">
        <v>731</v>
      </c>
      <c r="D113">
        <v>1910</v>
      </c>
      <c r="E113">
        <v>2641</v>
      </c>
      <c r="F113" s="1">
        <v>0.27678909503975802</v>
      </c>
    </row>
    <row r="114" spans="1:6" x14ac:dyDescent="0.3">
      <c r="A114">
        <v>2016</v>
      </c>
      <c r="B114" t="s">
        <v>30</v>
      </c>
      <c r="C114">
        <v>1383</v>
      </c>
      <c r="D114">
        <v>2252</v>
      </c>
      <c r="E114">
        <v>3635</v>
      </c>
      <c r="F114" s="1">
        <v>0.38046767537826698</v>
      </c>
    </row>
    <row r="115" spans="1:6" x14ac:dyDescent="0.3">
      <c r="A115">
        <v>2017</v>
      </c>
      <c r="B115" t="s">
        <v>30</v>
      </c>
      <c r="C115">
        <v>2279</v>
      </c>
      <c r="D115">
        <v>3058</v>
      </c>
      <c r="E115">
        <v>5337</v>
      </c>
      <c r="F115" s="1">
        <v>0.42701892448941398</v>
      </c>
    </row>
    <row r="116" spans="1:6" x14ac:dyDescent="0.3">
      <c r="A116">
        <v>2018</v>
      </c>
      <c r="B116" t="s">
        <v>30</v>
      </c>
      <c r="C116">
        <v>3188</v>
      </c>
      <c r="D116">
        <v>4134</v>
      </c>
      <c r="E116">
        <v>7322</v>
      </c>
      <c r="F116" s="1">
        <v>0.43540016388964797</v>
      </c>
    </row>
    <row r="117" spans="1:6" x14ac:dyDescent="0.3">
      <c r="A117">
        <v>2019</v>
      </c>
      <c r="B117" t="s">
        <v>30</v>
      </c>
      <c r="C117">
        <v>4391</v>
      </c>
      <c r="D117">
        <v>5895</v>
      </c>
      <c r="E117">
        <v>10286</v>
      </c>
      <c r="F117" s="1">
        <v>0.42689091969667498</v>
      </c>
    </row>
    <row r="118" spans="1:6" x14ac:dyDescent="0.3">
      <c r="A118">
        <v>2020</v>
      </c>
      <c r="B118" t="s">
        <v>30</v>
      </c>
      <c r="C118">
        <v>6393</v>
      </c>
      <c r="D118">
        <v>9897</v>
      </c>
      <c r="E118">
        <v>16290</v>
      </c>
      <c r="F118" s="1">
        <v>0.39244935543278098</v>
      </c>
    </row>
    <row r="119" spans="1:6" x14ac:dyDescent="0.3">
      <c r="A119">
        <v>2021</v>
      </c>
      <c r="B119" t="s">
        <v>30</v>
      </c>
      <c r="C119">
        <v>10487</v>
      </c>
      <c r="D119">
        <v>17201</v>
      </c>
      <c r="E119">
        <v>27688</v>
      </c>
      <c r="F119" s="1">
        <v>0.37875613984397599</v>
      </c>
    </row>
    <row r="120" spans="1:6" x14ac:dyDescent="0.3">
      <c r="A120">
        <v>2022</v>
      </c>
      <c r="B120" t="s">
        <v>30</v>
      </c>
      <c r="C120">
        <v>14510</v>
      </c>
      <c r="D120">
        <v>24364</v>
      </c>
      <c r="E120">
        <v>38874</v>
      </c>
      <c r="F120" s="1">
        <v>0.37325718989556</v>
      </c>
    </row>
    <row r="121" spans="1:6" x14ac:dyDescent="0.3">
      <c r="A121">
        <v>2023</v>
      </c>
      <c r="B121" t="s">
        <v>30</v>
      </c>
      <c r="C121">
        <v>19797</v>
      </c>
      <c r="D121">
        <v>32996</v>
      </c>
      <c r="E121">
        <v>52793</v>
      </c>
      <c r="F121" s="1">
        <v>0.37499289678555903</v>
      </c>
    </row>
    <row r="122" spans="1:6" x14ac:dyDescent="0.3">
      <c r="A122">
        <v>2004</v>
      </c>
      <c r="B122" t="s">
        <v>33</v>
      </c>
      <c r="C122">
        <v>6</v>
      </c>
      <c r="E122">
        <v>6</v>
      </c>
    </row>
    <row r="123" spans="1:6" x14ac:dyDescent="0.3">
      <c r="A123">
        <v>2005</v>
      </c>
      <c r="B123" t="s">
        <v>33</v>
      </c>
      <c r="C123">
        <v>5</v>
      </c>
      <c r="E123">
        <v>5</v>
      </c>
    </row>
    <row r="124" spans="1:6" x14ac:dyDescent="0.3">
      <c r="A124">
        <v>2006</v>
      </c>
      <c r="B124" t="s">
        <v>33</v>
      </c>
      <c r="C124">
        <v>4</v>
      </c>
      <c r="D124">
        <v>36</v>
      </c>
      <c r="E124">
        <v>40</v>
      </c>
      <c r="F124" s="1">
        <v>0.1</v>
      </c>
    </row>
    <row r="125" spans="1:6" x14ac:dyDescent="0.3">
      <c r="A125">
        <v>2007</v>
      </c>
      <c r="B125" t="s">
        <v>33</v>
      </c>
      <c r="C125">
        <v>6</v>
      </c>
      <c r="D125">
        <v>94</v>
      </c>
      <c r="E125">
        <v>100</v>
      </c>
      <c r="F125" s="1">
        <v>0.06</v>
      </c>
    </row>
    <row r="126" spans="1:6" x14ac:dyDescent="0.3">
      <c r="A126">
        <v>2008</v>
      </c>
      <c r="B126" t="s">
        <v>33</v>
      </c>
      <c r="C126">
        <v>6</v>
      </c>
      <c r="D126">
        <v>198</v>
      </c>
      <c r="E126">
        <v>204</v>
      </c>
      <c r="F126" s="1">
        <v>2.9411764705882401E-2</v>
      </c>
    </row>
    <row r="127" spans="1:6" x14ac:dyDescent="0.3">
      <c r="A127">
        <v>2009</v>
      </c>
      <c r="B127" t="s">
        <v>33</v>
      </c>
      <c r="C127">
        <v>8</v>
      </c>
      <c r="D127">
        <v>253</v>
      </c>
      <c r="E127">
        <v>261</v>
      </c>
      <c r="F127" s="1">
        <v>3.0651340996168602E-2</v>
      </c>
    </row>
    <row r="128" spans="1:6" x14ac:dyDescent="0.3">
      <c r="A128">
        <v>2010</v>
      </c>
      <c r="B128" t="s">
        <v>33</v>
      </c>
      <c r="C128">
        <v>14</v>
      </c>
      <c r="D128">
        <v>335</v>
      </c>
      <c r="E128">
        <v>349</v>
      </c>
      <c r="F128" s="1">
        <v>4.0114613180515797E-2</v>
      </c>
    </row>
    <row r="129" spans="1:6" x14ac:dyDescent="0.3">
      <c r="A129">
        <v>2011</v>
      </c>
      <c r="B129" t="s">
        <v>33</v>
      </c>
      <c r="C129">
        <v>36</v>
      </c>
      <c r="D129">
        <v>454</v>
      </c>
      <c r="E129">
        <v>490</v>
      </c>
      <c r="F129" s="1">
        <v>7.3469387755102006E-2</v>
      </c>
    </row>
    <row r="130" spans="1:6" x14ac:dyDescent="0.3">
      <c r="A130">
        <v>2012</v>
      </c>
      <c r="B130" t="s">
        <v>33</v>
      </c>
      <c r="C130">
        <v>62</v>
      </c>
      <c r="D130">
        <v>640</v>
      </c>
      <c r="E130">
        <v>702</v>
      </c>
      <c r="F130" s="1">
        <v>8.8319088319088301E-2</v>
      </c>
    </row>
    <row r="131" spans="1:6" x14ac:dyDescent="0.3">
      <c r="A131">
        <v>2013</v>
      </c>
      <c r="B131" t="s">
        <v>33</v>
      </c>
      <c r="C131">
        <v>87</v>
      </c>
      <c r="D131">
        <v>880</v>
      </c>
      <c r="E131">
        <v>967</v>
      </c>
      <c r="F131" s="1">
        <v>8.9968976215098195E-2</v>
      </c>
    </row>
    <row r="132" spans="1:6" x14ac:dyDescent="0.3">
      <c r="A132">
        <v>2014</v>
      </c>
      <c r="B132" t="s">
        <v>33</v>
      </c>
      <c r="C132">
        <v>193</v>
      </c>
      <c r="D132">
        <v>1091</v>
      </c>
      <c r="E132">
        <v>1284</v>
      </c>
      <c r="F132" s="1">
        <v>0.15031152647975099</v>
      </c>
    </row>
    <row r="133" spans="1:6" x14ac:dyDescent="0.3">
      <c r="A133">
        <v>2015</v>
      </c>
      <c r="B133" t="s">
        <v>33</v>
      </c>
      <c r="C133">
        <v>321</v>
      </c>
      <c r="D133">
        <v>1343</v>
      </c>
      <c r="E133">
        <v>1664</v>
      </c>
      <c r="F133" s="1">
        <v>0.19290865384615399</v>
      </c>
    </row>
    <row r="134" spans="1:6" x14ac:dyDescent="0.3">
      <c r="A134">
        <v>2016</v>
      </c>
      <c r="B134" t="s">
        <v>33</v>
      </c>
      <c r="C134">
        <v>734</v>
      </c>
      <c r="D134">
        <v>1728</v>
      </c>
      <c r="E134">
        <v>2462</v>
      </c>
      <c r="F134" s="1">
        <v>0.29813160032493902</v>
      </c>
    </row>
    <row r="135" spans="1:6" x14ac:dyDescent="0.3">
      <c r="A135">
        <v>2017</v>
      </c>
      <c r="B135" t="s">
        <v>33</v>
      </c>
      <c r="C135">
        <v>1316</v>
      </c>
      <c r="D135">
        <v>2513</v>
      </c>
      <c r="E135">
        <v>3829</v>
      </c>
      <c r="F135" s="1">
        <v>0.34369287020109701</v>
      </c>
    </row>
    <row r="136" spans="1:6" x14ac:dyDescent="0.3">
      <c r="A136">
        <v>2018</v>
      </c>
      <c r="B136" t="s">
        <v>33</v>
      </c>
      <c r="C136">
        <v>2010</v>
      </c>
      <c r="D136">
        <v>3336</v>
      </c>
      <c r="E136">
        <v>5346</v>
      </c>
      <c r="F136" s="1">
        <v>0.37598204264870899</v>
      </c>
    </row>
    <row r="137" spans="1:6" x14ac:dyDescent="0.3">
      <c r="A137">
        <v>2019</v>
      </c>
      <c r="B137" t="s">
        <v>33</v>
      </c>
      <c r="C137">
        <v>2877</v>
      </c>
      <c r="D137">
        <v>4765</v>
      </c>
      <c r="E137">
        <v>7642</v>
      </c>
      <c r="F137" s="1">
        <v>0.37647212771525801</v>
      </c>
    </row>
    <row r="138" spans="1:6" x14ac:dyDescent="0.3">
      <c r="A138">
        <v>2020</v>
      </c>
      <c r="B138" t="s">
        <v>33</v>
      </c>
      <c r="C138">
        <v>4348</v>
      </c>
      <c r="D138">
        <v>7736</v>
      </c>
      <c r="E138">
        <v>12084</v>
      </c>
      <c r="F138" s="1">
        <v>0.35981463091691501</v>
      </c>
    </row>
    <row r="139" spans="1:6" x14ac:dyDescent="0.3">
      <c r="A139">
        <v>2021</v>
      </c>
      <c r="B139" t="s">
        <v>33</v>
      </c>
      <c r="C139">
        <v>7030</v>
      </c>
      <c r="D139">
        <v>13184</v>
      </c>
      <c r="E139">
        <v>20214</v>
      </c>
      <c r="F139" s="1">
        <v>0.34777876719105599</v>
      </c>
    </row>
    <row r="140" spans="1:6" x14ac:dyDescent="0.3">
      <c r="A140">
        <v>2022</v>
      </c>
      <c r="B140" t="s">
        <v>33</v>
      </c>
      <c r="C140">
        <v>10204</v>
      </c>
      <c r="D140">
        <v>18124</v>
      </c>
      <c r="E140">
        <v>28328</v>
      </c>
      <c r="F140" s="1">
        <v>0.36020898051397898</v>
      </c>
    </row>
    <row r="141" spans="1:6" x14ac:dyDescent="0.3">
      <c r="A141">
        <v>2023</v>
      </c>
      <c r="B141" t="s">
        <v>33</v>
      </c>
      <c r="C141">
        <v>14162</v>
      </c>
      <c r="D141">
        <v>23877</v>
      </c>
      <c r="E141">
        <v>38039</v>
      </c>
      <c r="F141" s="1">
        <v>0.37230211099135102</v>
      </c>
    </row>
    <row r="142" spans="1:6" x14ac:dyDescent="0.3">
      <c r="A142">
        <v>2004</v>
      </c>
      <c r="B142" t="s">
        <v>36</v>
      </c>
      <c r="C142">
        <v>17</v>
      </c>
      <c r="E142">
        <v>17</v>
      </c>
    </row>
    <row r="143" spans="1:6" x14ac:dyDescent="0.3">
      <c r="A143">
        <v>2005</v>
      </c>
      <c r="B143" t="s">
        <v>36</v>
      </c>
      <c r="C143">
        <v>16</v>
      </c>
      <c r="E143">
        <v>16</v>
      </c>
    </row>
    <row r="144" spans="1:6" x14ac:dyDescent="0.3">
      <c r="A144">
        <v>2006</v>
      </c>
      <c r="B144" t="s">
        <v>36</v>
      </c>
      <c r="C144">
        <v>17</v>
      </c>
      <c r="D144">
        <v>28</v>
      </c>
      <c r="E144">
        <v>45</v>
      </c>
      <c r="F144" s="1">
        <v>0.37777777777777799</v>
      </c>
    </row>
    <row r="145" spans="1:6" x14ac:dyDescent="0.3">
      <c r="A145">
        <v>2007</v>
      </c>
      <c r="B145" t="s">
        <v>36</v>
      </c>
      <c r="C145">
        <v>17</v>
      </c>
      <c r="D145">
        <v>81</v>
      </c>
      <c r="E145">
        <v>98</v>
      </c>
      <c r="F145" s="1">
        <v>0.17346938775510201</v>
      </c>
    </row>
    <row r="146" spans="1:6" x14ac:dyDescent="0.3">
      <c r="A146">
        <v>2008</v>
      </c>
      <c r="B146" t="s">
        <v>36</v>
      </c>
      <c r="C146">
        <v>16</v>
      </c>
      <c r="D146">
        <v>161</v>
      </c>
      <c r="E146">
        <v>177</v>
      </c>
      <c r="F146" s="1">
        <v>9.03954802259887E-2</v>
      </c>
    </row>
    <row r="147" spans="1:6" x14ac:dyDescent="0.3">
      <c r="A147">
        <v>2009</v>
      </c>
      <c r="B147" t="s">
        <v>36</v>
      </c>
      <c r="C147">
        <v>54</v>
      </c>
      <c r="D147">
        <v>217</v>
      </c>
      <c r="E147">
        <v>271</v>
      </c>
      <c r="F147" s="1">
        <v>0.199261992619926</v>
      </c>
    </row>
    <row r="148" spans="1:6" x14ac:dyDescent="0.3">
      <c r="A148">
        <v>2010</v>
      </c>
      <c r="B148" t="s">
        <v>36</v>
      </c>
      <c r="C148">
        <v>84</v>
      </c>
      <c r="D148">
        <v>291</v>
      </c>
      <c r="E148">
        <v>375</v>
      </c>
      <c r="F148" s="1">
        <v>0.224</v>
      </c>
    </row>
    <row r="149" spans="1:6" x14ac:dyDescent="0.3">
      <c r="A149">
        <v>2011</v>
      </c>
      <c r="B149" t="s">
        <v>36</v>
      </c>
      <c r="C149">
        <v>354</v>
      </c>
      <c r="D149">
        <v>358</v>
      </c>
      <c r="E149">
        <v>712</v>
      </c>
      <c r="F149" s="1">
        <v>0.49719101123595499</v>
      </c>
    </row>
    <row r="150" spans="1:6" x14ac:dyDescent="0.3">
      <c r="A150">
        <v>2012</v>
      </c>
      <c r="B150" t="s">
        <v>36</v>
      </c>
      <c r="C150">
        <v>396</v>
      </c>
      <c r="D150">
        <v>449</v>
      </c>
      <c r="E150">
        <v>845</v>
      </c>
      <c r="F150" s="1">
        <v>0.468639053254438</v>
      </c>
    </row>
    <row r="151" spans="1:6" x14ac:dyDescent="0.3">
      <c r="A151">
        <v>2013</v>
      </c>
      <c r="B151" t="s">
        <v>36</v>
      </c>
      <c r="C151">
        <v>417</v>
      </c>
      <c r="D151">
        <v>592</v>
      </c>
      <c r="E151">
        <v>1009</v>
      </c>
      <c r="F151" s="1">
        <v>0.41328047571853299</v>
      </c>
    </row>
    <row r="152" spans="1:6" x14ac:dyDescent="0.3">
      <c r="A152">
        <v>2014</v>
      </c>
      <c r="B152" t="s">
        <v>36</v>
      </c>
      <c r="C152">
        <v>459</v>
      </c>
      <c r="D152">
        <v>722</v>
      </c>
      <c r="E152">
        <v>1181</v>
      </c>
      <c r="F152" s="1">
        <v>0.38865368331922101</v>
      </c>
    </row>
    <row r="153" spans="1:6" x14ac:dyDescent="0.3">
      <c r="A153">
        <v>2015</v>
      </c>
      <c r="B153" t="s">
        <v>36</v>
      </c>
      <c r="C153">
        <v>523</v>
      </c>
      <c r="D153">
        <v>872</v>
      </c>
      <c r="E153">
        <v>1395</v>
      </c>
      <c r="F153" s="1">
        <v>0.37491039426523298</v>
      </c>
    </row>
    <row r="154" spans="1:6" x14ac:dyDescent="0.3">
      <c r="A154">
        <v>2016</v>
      </c>
      <c r="B154" t="s">
        <v>36</v>
      </c>
      <c r="C154">
        <v>833</v>
      </c>
      <c r="D154">
        <v>1127</v>
      </c>
      <c r="E154">
        <v>1960</v>
      </c>
      <c r="F154" s="1">
        <v>0.42499999999999999</v>
      </c>
    </row>
    <row r="155" spans="1:6" x14ac:dyDescent="0.3">
      <c r="A155">
        <v>2017</v>
      </c>
      <c r="B155" t="s">
        <v>36</v>
      </c>
      <c r="C155">
        <v>1193</v>
      </c>
      <c r="D155">
        <v>1578</v>
      </c>
      <c r="E155">
        <v>2771</v>
      </c>
      <c r="F155" s="1">
        <v>0.43053049440635199</v>
      </c>
    </row>
    <row r="156" spans="1:6" x14ac:dyDescent="0.3">
      <c r="A156">
        <v>2018</v>
      </c>
      <c r="B156" t="s">
        <v>36</v>
      </c>
      <c r="C156">
        <v>1616</v>
      </c>
      <c r="D156">
        <v>2029</v>
      </c>
      <c r="E156">
        <v>3645</v>
      </c>
      <c r="F156" s="1">
        <v>0.44334705075445802</v>
      </c>
    </row>
    <row r="157" spans="1:6" x14ac:dyDescent="0.3">
      <c r="A157">
        <v>2019</v>
      </c>
      <c r="B157" t="s">
        <v>36</v>
      </c>
      <c r="C157">
        <v>2178</v>
      </c>
      <c r="D157">
        <v>2787</v>
      </c>
      <c r="E157">
        <v>4965</v>
      </c>
      <c r="F157" s="1">
        <v>0.43867069486404803</v>
      </c>
    </row>
    <row r="158" spans="1:6" x14ac:dyDescent="0.3">
      <c r="A158">
        <v>2020</v>
      </c>
      <c r="B158" t="s">
        <v>36</v>
      </c>
      <c r="C158">
        <v>2931</v>
      </c>
      <c r="D158">
        <v>4156</v>
      </c>
      <c r="E158">
        <v>7087</v>
      </c>
      <c r="F158" s="1">
        <v>0.41357414985184099</v>
      </c>
    </row>
    <row r="159" spans="1:6" x14ac:dyDescent="0.3">
      <c r="A159">
        <v>2021</v>
      </c>
      <c r="B159" t="s">
        <v>36</v>
      </c>
      <c r="C159">
        <v>4655</v>
      </c>
      <c r="D159">
        <v>6777</v>
      </c>
      <c r="E159">
        <v>11432</v>
      </c>
      <c r="F159" s="1">
        <v>0.40719034289713102</v>
      </c>
    </row>
    <row r="160" spans="1:6" x14ac:dyDescent="0.3">
      <c r="A160">
        <v>2022</v>
      </c>
      <c r="B160" t="s">
        <v>36</v>
      </c>
      <c r="C160">
        <v>6530</v>
      </c>
      <c r="D160">
        <v>9167</v>
      </c>
      <c r="E160">
        <v>15697</v>
      </c>
      <c r="F160" s="1">
        <v>0.41600305790915498</v>
      </c>
    </row>
    <row r="161" spans="1:6" x14ac:dyDescent="0.3">
      <c r="A161">
        <v>2023</v>
      </c>
      <c r="B161" t="s">
        <v>36</v>
      </c>
      <c r="C161">
        <v>8834</v>
      </c>
      <c r="D161">
        <v>11964</v>
      </c>
      <c r="E161">
        <v>20798</v>
      </c>
      <c r="F161" s="1">
        <v>0.42475238003654198</v>
      </c>
    </row>
    <row r="162" spans="1:6" x14ac:dyDescent="0.3">
      <c r="A162">
        <v>2004</v>
      </c>
      <c r="B162" t="s">
        <v>39</v>
      </c>
      <c r="C162">
        <v>22</v>
      </c>
      <c r="E162">
        <v>22</v>
      </c>
    </row>
    <row r="163" spans="1:6" x14ac:dyDescent="0.3">
      <c r="A163">
        <v>2005</v>
      </c>
      <c r="B163" t="s">
        <v>39</v>
      </c>
      <c r="C163">
        <v>22</v>
      </c>
      <c r="E163">
        <v>22</v>
      </c>
    </row>
    <row r="164" spans="1:6" x14ac:dyDescent="0.3">
      <c r="A164">
        <v>2006</v>
      </c>
      <c r="B164" t="s">
        <v>39</v>
      </c>
      <c r="C164">
        <v>20</v>
      </c>
      <c r="D164">
        <v>162</v>
      </c>
      <c r="E164">
        <v>182</v>
      </c>
      <c r="F164" s="1">
        <v>0.10989010989011</v>
      </c>
    </row>
    <row r="165" spans="1:6" x14ac:dyDescent="0.3">
      <c r="A165">
        <v>2007</v>
      </c>
      <c r="B165" t="s">
        <v>39</v>
      </c>
      <c r="C165">
        <v>17</v>
      </c>
      <c r="D165">
        <v>365</v>
      </c>
      <c r="E165">
        <v>382</v>
      </c>
      <c r="F165" s="1">
        <v>4.4502617801047098E-2</v>
      </c>
    </row>
    <row r="166" spans="1:6" x14ac:dyDescent="0.3">
      <c r="A166">
        <v>2008</v>
      </c>
      <c r="B166" t="s">
        <v>39</v>
      </c>
      <c r="C166">
        <v>15</v>
      </c>
      <c r="D166">
        <v>651</v>
      </c>
      <c r="E166">
        <v>666</v>
      </c>
      <c r="F166" s="1">
        <v>2.2522522522522501E-2</v>
      </c>
    </row>
    <row r="167" spans="1:6" x14ac:dyDescent="0.3">
      <c r="A167">
        <v>2009</v>
      </c>
      <c r="B167" t="s">
        <v>39</v>
      </c>
      <c r="C167">
        <v>18</v>
      </c>
      <c r="D167">
        <v>941</v>
      </c>
      <c r="E167">
        <v>959</v>
      </c>
      <c r="F167" s="1">
        <v>1.8769551616266901E-2</v>
      </c>
    </row>
    <row r="168" spans="1:6" x14ac:dyDescent="0.3">
      <c r="A168">
        <v>2010</v>
      </c>
      <c r="B168" t="s">
        <v>39</v>
      </c>
      <c r="C168">
        <v>36</v>
      </c>
      <c r="D168">
        <v>1253</v>
      </c>
      <c r="E168">
        <v>1289</v>
      </c>
      <c r="F168" s="1">
        <v>2.7928626842513599E-2</v>
      </c>
    </row>
    <row r="169" spans="1:6" x14ac:dyDescent="0.3">
      <c r="A169">
        <v>2011</v>
      </c>
      <c r="B169" t="s">
        <v>39</v>
      </c>
      <c r="C169">
        <v>110</v>
      </c>
      <c r="D169">
        <v>1579</v>
      </c>
      <c r="E169">
        <v>1689</v>
      </c>
      <c r="F169" s="1">
        <v>6.5127294256956805E-2</v>
      </c>
    </row>
    <row r="170" spans="1:6" x14ac:dyDescent="0.3">
      <c r="A170">
        <v>2012</v>
      </c>
      <c r="B170" t="s">
        <v>39</v>
      </c>
      <c r="C170">
        <v>137</v>
      </c>
      <c r="D170">
        <v>2100</v>
      </c>
      <c r="E170">
        <v>2237</v>
      </c>
      <c r="F170" s="1">
        <v>6.1242735806884198E-2</v>
      </c>
    </row>
    <row r="171" spans="1:6" x14ac:dyDescent="0.3">
      <c r="A171">
        <v>2013</v>
      </c>
      <c r="B171" t="s">
        <v>39</v>
      </c>
      <c r="C171">
        <v>208</v>
      </c>
      <c r="D171">
        <v>2705</v>
      </c>
      <c r="E171">
        <v>2913</v>
      </c>
      <c r="F171" s="1">
        <v>7.1404050806728403E-2</v>
      </c>
    </row>
    <row r="172" spans="1:6" x14ac:dyDescent="0.3">
      <c r="A172">
        <v>2014</v>
      </c>
      <c r="B172" t="s">
        <v>39</v>
      </c>
      <c r="C172">
        <v>337</v>
      </c>
      <c r="D172">
        <v>3352</v>
      </c>
      <c r="E172">
        <v>3689</v>
      </c>
      <c r="F172" s="1">
        <v>9.1352670100298197E-2</v>
      </c>
    </row>
    <row r="173" spans="1:6" x14ac:dyDescent="0.3">
      <c r="A173">
        <v>2015</v>
      </c>
      <c r="B173" t="s">
        <v>39</v>
      </c>
      <c r="C173">
        <v>541</v>
      </c>
      <c r="D173">
        <v>4047</v>
      </c>
      <c r="E173">
        <v>4588</v>
      </c>
      <c r="F173" s="1">
        <v>0.11791630340017401</v>
      </c>
    </row>
    <row r="174" spans="1:6" x14ac:dyDescent="0.3">
      <c r="A174">
        <v>2016</v>
      </c>
      <c r="B174" t="s">
        <v>39</v>
      </c>
      <c r="C174">
        <v>930</v>
      </c>
      <c r="D174">
        <v>5068</v>
      </c>
      <c r="E174">
        <v>5998</v>
      </c>
      <c r="F174" s="1">
        <v>0.155051683894632</v>
      </c>
    </row>
    <row r="175" spans="1:6" x14ac:dyDescent="0.3">
      <c r="A175">
        <v>2017</v>
      </c>
      <c r="B175" t="s">
        <v>39</v>
      </c>
      <c r="C175">
        <v>1532</v>
      </c>
      <c r="D175">
        <v>7040</v>
      </c>
      <c r="E175">
        <v>8572</v>
      </c>
      <c r="F175" s="1">
        <v>0.178721418572095</v>
      </c>
    </row>
    <row r="176" spans="1:6" x14ac:dyDescent="0.3">
      <c r="A176">
        <v>2018</v>
      </c>
      <c r="B176" t="s">
        <v>39</v>
      </c>
      <c r="C176">
        <v>2252</v>
      </c>
      <c r="D176">
        <v>9453</v>
      </c>
      <c r="E176">
        <v>11705</v>
      </c>
      <c r="F176" s="1">
        <v>0.19239641178983299</v>
      </c>
    </row>
    <row r="177" spans="1:6" x14ac:dyDescent="0.3">
      <c r="A177">
        <v>2019</v>
      </c>
      <c r="B177" t="s">
        <v>39</v>
      </c>
      <c r="C177">
        <v>3853</v>
      </c>
      <c r="D177">
        <v>13114</v>
      </c>
      <c r="E177">
        <v>16967</v>
      </c>
      <c r="F177" s="1">
        <v>0.227087876466081</v>
      </c>
    </row>
    <row r="178" spans="1:6" x14ac:dyDescent="0.3">
      <c r="A178">
        <v>2020</v>
      </c>
      <c r="B178" t="s">
        <v>39</v>
      </c>
      <c r="C178">
        <v>6245</v>
      </c>
      <c r="D178">
        <v>19708</v>
      </c>
      <c r="E178">
        <v>25953</v>
      </c>
      <c r="F178" s="1">
        <v>0.24062728778946599</v>
      </c>
    </row>
    <row r="179" spans="1:6" x14ac:dyDescent="0.3">
      <c r="A179">
        <v>2021</v>
      </c>
      <c r="B179" t="s">
        <v>39</v>
      </c>
      <c r="C179">
        <v>11591</v>
      </c>
      <c r="D179">
        <v>29694</v>
      </c>
      <c r="E179">
        <v>41285</v>
      </c>
      <c r="F179" s="1">
        <v>0.28075572241734298</v>
      </c>
    </row>
    <row r="180" spans="1:6" x14ac:dyDescent="0.3">
      <c r="A180">
        <v>2022</v>
      </c>
      <c r="B180" t="s">
        <v>39</v>
      </c>
      <c r="C180">
        <v>17805</v>
      </c>
      <c r="D180">
        <v>40359</v>
      </c>
      <c r="E180">
        <v>58164</v>
      </c>
      <c r="F180" s="1">
        <v>0.30611718588817799</v>
      </c>
    </row>
    <row r="181" spans="1:6" x14ac:dyDescent="0.3">
      <c r="A181">
        <v>2023</v>
      </c>
      <c r="B181" t="s">
        <v>39</v>
      </c>
      <c r="C181">
        <v>27745</v>
      </c>
      <c r="D181">
        <v>52268</v>
      </c>
      <c r="E181">
        <v>80013</v>
      </c>
      <c r="F181" s="1">
        <v>0.34675615212527999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A851-845F-4B1F-B8E6-BF448EA395EE}">
  <dimension ref="A1:G40"/>
  <sheetViews>
    <sheetView tabSelected="1" zoomScaleNormal="100" workbookViewId="0">
      <selection activeCell="J24" sqref="J24"/>
    </sheetView>
  </sheetViews>
  <sheetFormatPr defaultRowHeight="14.4" x14ac:dyDescent="0.3"/>
  <cols>
    <col min="1" max="1" width="14.77734375" bestFit="1" customWidth="1"/>
    <col min="2" max="2" width="13" customWidth="1"/>
    <col min="3" max="3" width="12.88671875" customWidth="1"/>
    <col min="4" max="4" width="16.5546875" customWidth="1"/>
    <col min="5" max="5" width="15.109375" customWidth="1"/>
    <col min="6" max="6" width="16.44140625" customWidth="1"/>
    <col min="12" max="12" width="17.88671875" customWidth="1"/>
  </cols>
  <sheetData>
    <row r="1" spans="1:7" ht="18" x14ac:dyDescent="0.35">
      <c r="A1" s="11" t="s">
        <v>45</v>
      </c>
    </row>
    <row r="3" spans="1:7" x14ac:dyDescent="0.3">
      <c r="A3" s="2" t="s">
        <v>7</v>
      </c>
      <c r="B3" t="s">
        <v>39</v>
      </c>
    </row>
    <row r="4" spans="1:7" x14ac:dyDescent="0.3">
      <c r="A4" s="4"/>
    </row>
    <row r="5" spans="1:7" x14ac:dyDescent="0.3">
      <c r="A5" s="2" t="s">
        <v>47</v>
      </c>
      <c r="B5" t="s">
        <v>49</v>
      </c>
      <c r="C5" t="s">
        <v>50</v>
      </c>
      <c r="D5" t="s">
        <v>51</v>
      </c>
      <c r="E5" s="5" t="s">
        <v>42</v>
      </c>
      <c r="F5" s="4" t="s">
        <v>43</v>
      </c>
    </row>
    <row r="6" spans="1:7" x14ac:dyDescent="0.3">
      <c r="A6" s="3">
        <v>2004</v>
      </c>
      <c r="B6" s="8">
        <v>22</v>
      </c>
      <c r="C6" s="8"/>
      <c r="D6" s="7"/>
      <c r="E6" s="6" t="s">
        <v>44</v>
      </c>
      <c r="F6" s="6" t="s">
        <v>44</v>
      </c>
      <c r="G6" s="6"/>
    </row>
    <row r="7" spans="1:7" x14ac:dyDescent="0.3">
      <c r="A7" s="3">
        <v>2005</v>
      </c>
      <c r="B7" s="8">
        <v>22</v>
      </c>
      <c r="C7" s="8"/>
      <c r="D7" s="7"/>
      <c r="E7" s="6">
        <f>(B7-B6)/B6</f>
        <v>0</v>
      </c>
      <c r="F7" s="6" t="s">
        <v>44</v>
      </c>
      <c r="G7" s="6"/>
    </row>
    <row r="8" spans="1:7" x14ac:dyDescent="0.3">
      <c r="A8" s="3">
        <v>2006</v>
      </c>
      <c r="B8" s="8">
        <v>20</v>
      </c>
      <c r="C8" s="8">
        <v>162</v>
      </c>
      <c r="D8" s="9">
        <v>0.10989010989011</v>
      </c>
      <c r="E8" s="6">
        <f t="shared" ref="E8:E25" si="0">(B8-B7)/B7</f>
        <v>-9.0909090909090912E-2</v>
      </c>
      <c r="F8" s="6" t="s">
        <v>44</v>
      </c>
      <c r="G8" s="6"/>
    </row>
    <row r="9" spans="1:7" x14ac:dyDescent="0.3">
      <c r="A9" s="3">
        <v>2007</v>
      </c>
      <c r="B9" s="8">
        <v>17</v>
      </c>
      <c r="C9" s="8">
        <v>365</v>
      </c>
      <c r="D9" s="9">
        <v>4.4502617801047098E-2</v>
      </c>
      <c r="E9" s="6">
        <f t="shared" si="0"/>
        <v>-0.15</v>
      </c>
      <c r="F9" s="6">
        <f>(C9-C8)/C8</f>
        <v>1.2530864197530864</v>
      </c>
      <c r="G9" s="6"/>
    </row>
    <row r="10" spans="1:7" x14ac:dyDescent="0.3">
      <c r="A10" s="3">
        <v>2008</v>
      </c>
      <c r="B10" s="8">
        <v>15</v>
      </c>
      <c r="C10" s="8">
        <v>651</v>
      </c>
      <c r="D10" s="9">
        <v>2.2522522522522501E-2</v>
      </c>
      <c r="E10" s="6">
        <f t="shared" si="0"/>
        <v>-0.11764705882352941</v>
      </c>
      <c r="F10" s="6">
        <f t="shared" ref="F10:F25" si="1">(C10-C9)/C9</f>
        <v>0.78356164383561644</v>
      </c>
      <c r="G10" s="6"/>
    </row>
    <row r="11" spans="1:7" x14ac:dyDescent="0.3">
      <c r="A11" s="3">
        <v>2009</v>
      </c>
      <c r="B11" s="8">
        <v>18</v>
      </c>
      <c r="C11" s="8">
        <v>941</v>
      </c>
      <c r="D11" s="9">
        <v>1.8769551616266901E-2</v>
      </c>
      <c r="E11" s="6">
        <f t="shared" si="0"/>
        <v>0.2</v>
      </c>
      <c r="F11" s="6">
        <f t="shared" si="1"/>
        <v>0.44546850998463899</v>
      </c>
      <c r="G11" s="6"/>
    </row>
    <row r="12" spans="1:7" x14ac:dyDescent="0.3">
      <c r="A12" s="3">
        <v>2010</v>
      </c>
      <c r="B12" s="8">
        <v>36</v>
      </c>
      <c r="C12" s="8">
        <v>1253</v>
      </c>
      <c r="D12" s="9">
        <v>2.7928626842513599E-2</v>
      </c>
      <c r="E12" s="6">
        <f t="shared" si="0"/>
        <v>1</v>
      </c>
      <c r="F12" s="6">
        <f t="shared" si="1"/>
        <v>0.33156216790648246</v>
      </c>
      <c r="G12" s="6"/>
    </row>
    <row r="13" spans="1:7" x14ac:dyDescent="0.3">
      <c r="A13" s="3">
        <v>2011</v>
      </c>
      <c r="B13" s="8">
        <v>110</v>
      </c>
      <c r="C13" s="8">
        <v>1579</v>
      </c>
      <c r="D13" s="9">
        <v>6.5127294256956805E-2</v>
      </c>
      <c r="E13" s="6">
        <f t="shared" si="0"/>
        <v>2.0555555555555554</v>
      </c>
      <c r="F13" s="6">
        <f t="shared" si="1"/>
        <v>0.26017557861133278</v>
      </c>
      <c r="G13" s="6"/>
    </row>
    <row r="14" spans="1:7" x14ac:dyDescent="0.3">
      <c r="A14" s="3">
        <v>2012</v>
      </c>
      <c r="B14" s="8">
        <v>137</v>
      </c>
      <c r="C14" s="8">
        <v>2100</v>
      </c>
      <c r="D14" s="9">
        <v>6.1242735806884198E-2</v>
      </c>
      <c r="E14" s="6">
        <f t="shared" si="0"/>
        <v>0.24545454545454545</v>
      </c>
      <c r="F14" s="6">
        <f t="shared" si="1"/>
        <v>0.3299556681443952</v>
      </c>
      <c r="G14" s="6"/>
    </row>
    <row r="15" spans="1:7" x14ac:dyDescent="0.3">
      <c r="A15" s="3">
        <v>2013</v>
      </c>
      <c r="B15" s="8">
        <v>208</v>
      </c>
      <c r="C15" s="8">
        <v>2705</v>
      </c>
      <c r="D15" s="9">
        <v>7.1404050806728403E-2</v>
      </c>
      <c r="E15" s="6">
        <f t="shared" si="0"/>
        <v>0.51824817518248179</v>
      </c>
      <c r="F15" s="6">
        <f t="shared" si="1"/>
        <v>0.28809523809523807</v>
      </c>
      <c r="G15" s="6"/>
    </row>
    <row r="16" spans="1:7" x14ac:dyDescent="0.3">
      <c r="A16" s="3">
        <v>2014</v>
      </c>
      <c r="B16" s="8">
        <v>337</v>
      </c>
      <c r="C16" s="8">
        <v>3352</v>
      </c>
      <c r="D16" s="9">
        <v>9.1352670100298197E-2</v>
      </c>
      <c r="E16" s="6">
        <f t="shared" si="0"/>
        <v>0.62019230769230771</v>
      </c>
      <c r="F16" s="6">
        <f t="shared" si="1"/>
        <v>0.23918669131238449</v>
      </c>
      <c r="G16" s="6"/>
    </row>
    <row r="17" spans="1:7" x14ac:dyDescent="0.3">
      <c r="A17" s="3">
        <v>2015</v>
      </c>
      <c r="B17" s="8">
        <v>541</v>
      </c>
      <c r="C17" s="8">
        <v>4047</v>
      </c>
      <c r="D17" s="9">
        <v>0.11791630340017401</v>
      </c>
      <c r="E17" s="6">
        <f t="shared" si="0"/>
        <v>0.60534124629080122</v>
      </c>
      <c r="F17" s="6">
        <f t="shared" si="1"/>
        <v>0.20733890214797135</v>
      </c>
      <c r="G17" s="6"/>
    </row>
    <row r="18" spans="1:7" x14ac:dyDescent="0.3">
      <c r="A18" s="3">
        <v>2016</v>
      </c>
      <c r="B18" s="8">
        <v>930</v>
      </c>
      <c r="C18" s="8">
        <v>5068</v>
      </c>
      <c r="D18" s="9">
        <v>0.155051683894632</v>
      </c>
      <c r="E18" s="6">
        <f t="shared" si="0"/>
        <v>0.71903881700554528</v>
      </c>
      <c r="F18" s="6">
        <f t="shared" si="1"/>
        <v>0.25228564368668149</v>
      </c>
      <c r="G18" s="6"/>
    </row>
    <row r="19" spans="1:7" x14ac:dyDescent="0.3">
      <c r="A19" s="3">
        <v>2017</v>
      </c>
      <c r="B19" s="8">
        <v>1532</v>
      </c>
      <c r="C19" s="8">
        <v>7040</v>
      </c>
      <c r="D19" s="9">
        <v>0.178721418572095</v>
      </c>
      <c r="E19" s="6">
        <f t="shared" si="0"/>
        <v>0.64731182795698927</v>
      </c>
      <c r="F19" s="6">
        <f t="shared" si="1"/>
        <v>0.38910812943962114</v>
      </c>
      <c r="G19" s="6"/>
    </row>
    <row r="20" spans="1:7" x14ac:dyDescent="0.3">
      <c r="A20" s="3">
        <v>2018</v>
      </c>
      <c r="B20" s="8">
        <v>2252</v>
      </c>
      <c r="C20" s="8">
        <v>9453</v>
      </c>
      <c r="D20" s="9">
        <v>0.19239641178983299</v>
      </c>
      <c r="E20" s="6">
        <f t="shared" si="0"/>
        <v>0.4699738903394256</v>
      </c>
      <c r="F20" s="6">
        <f t="shared" si="1"/>
        <v>0.34275568181818183</v>
      </c>
      <c r="G20" s="6"/>
    </row>
    <row r="21" spans="1:7" x14ac:dyDescent="0.3">
      <c r="A21" s="3">
        <v>2019</v>
      </c>
      <c r="B21" s="8">
        <v>3853</v>
      </c>
      <c r="C21" s="8">
        <v>13114</v>
      </c>
      <c r="D21" s="9">
        <v>0.227087876466081</v>
      </c>
      <c r="E21" s="6">
        <f t="shared" si="0"/>
        <v>0.71092362344582594</v>
      </c>
      <c r="F21" s="6">
        <f t="shared" si="1"/>
        <v>0.3872844599598011</v>
      </c>
      <c r="G21" s="6"/>
    </row>
    <row r="22" spans="1:7" x14ac:dyDescent="0.3">
      <c r="A22" s="3">
        <v>2020</v>
      </c>
      <c r="B22" s="8">
        <v>6245</v>
      </c>
      <c r="C22" s="8">
        <v>19708</v>
      </c>
      <c r="D22" s="9">
        <v>0.24062728778946599</v>
      </c>
      <c r="E22" s="6">
        <f t="shared" si="0"/>
        <v>0.62081494939008564</v>
      </c>
      <c r="F22" s="6">
        <f t="shared" si="1"/>
        <v>0.50282141223120325</v>
      </c>
      <c r="G22" s="6"/>
    </row>
    <row r="23" spans="1:7" x14ac:dyDescent="0.3">
      <c r="A23" s="3">
        <v>2021</v>
      </c>
      <c r="B23" s="8">
        <v>11591</v>
      </c>
      <c r="C23" s="8">
        <v>29694</v>
      </c>
      <c r="D23" s="9">
        <v>0.28075572241734298</v>
      </c>
      <c r="E23" s="6">
        <f t="shared" si="0"/>
        <v>0.85604483586869495</v>
      </c>
      <c r="F23" s="6">
        <f t="shared" si="1"/>
        <v>0.50669778770042617</v>
      </c>
      <c r="G23" s="6"/>
    </row>
    <row r="24" spans="1:7" x14ac:dyDescent="0.3">
      <c r="A24" s="3">
        <v>2022</v>
      </c>
      <c r="B24" s="8">
        <v>17805</v>
      </c>
      <c r="C24" s="8">
        <v>40359</v>
      </c>
      <c r="D24" s="9">
        <v>0.30611718588817799</v>
      </c>
      <c r="E24" s="6">
        <f t="shared" si="0"/>
        <v>0.53610559917177125</v>
      </c>
      <c r="F24" s="6">
        <f t="shared" si="1"/>
        <v>0.35916346736714488</v>
      </c>
      <c r="G24" s="6"/>
    </row>
    <row r="25" spans="1:7" x14ac:dyDescent="0.3">
      <c r="A25" s="3">
        <v>2023</v>
      </c>
      <c r="B25" s="8">
        <v>27745</v>
      </c>
      <c r="C25" s="8">
        <v>52268</v>
      </c>
      <c r="D25" s="9">
        <v>0.34675615212527999</v>
      </c>
      <c r="E25" s="6">
        <f t="shared" si="0"/>
        <v>0.55827014883459702</v>
      </c>
      <c r="F25" s="6">
        <f t="shared" si="1"/>
        <v>0.29507668673653958</v>
      </c>
      <c r="G25" s="6"/>
    </row>
    <row r="26" spans="1:7" x14ac:dyDescent="0.3">
      <c r="A26" s="3"/>
      <c r="B26" s="8"/>
      <c r="C26" s="8"/>
      <c r="D26" s="9"/>
      <c r="E26" s="6"/>
      <c r="F26" s="6"/>
      <c r="G26" s="6"/>
    </row>
    <row r="27" spans="1:7" x14ac:dyDescent="0.3">
      <c r="B27" s="8"/>
      <c r="C27" s="8"/>
      <c r="D27" s="9"/>
      <c r="E27" s="6"/>
      <c r="F27" s="6"/>
      <c r="G27" s="6"/>
    </row>
    <row r="28" spans="1:7" ht="18" x14ac:dyDescent="0.35">
      <c r="A28" s="11" t="s">
        <v>46</v>
      </c>
      <c r="B28" s="10"/>
    </row>
    <row r="29" spans="1:7" x14ac:dyDescent="0.3">
      <c r="A29" s="2" t="s">
        <v>5</v>
      </c>
      <c r="B29" s="3">
        <v>2023</v>
      </c>
    </row>
    <row r="31" spans="1:7" x14ac:dyDescent="0.3">
      <c r="A31" s="2" t="s">
        <v>48</v>
      </c>
      <c r="B31" t="s">
        <v>49</v>
      </c>
      <c r="C31" t="s">
        <v>50</v>
      </c>
      <c r="D31" t="s">
        <v>51</v>
      </c>
    </row>
    <row r="32" spans="1:7" x14ac:dyDescent="0.3">
      <c r="A32" s="3" t="s">
        <v>24</v>
      </c>
      <c r="B32" s="8">
        <v>30291</v>
      </c>
      <c r="C32" s="8">
        <v>40680</v>
      </c>
      <c r="D32" s="9">
        <v>0.42680813289935299</v>
      </c>
    </row>
    <row r="33" spans="1:4" x14ac:dyDescent="0.3">
      <c r="A33" s="3" t="s">
        <v>36</v>
      </c>
      <c r="B33" s="8">
        <v>8834</v>
      </c>
      <c r="C33" s="8">
        <v>11964</v>
      </c>
      <c r="D33" s="9">
        <v>0.42475238003654198</v>
      </c>
    </row>
    <row r="34" spans="1:4" x14ac:dyDescent="0.3">
      <c r="A34" s="3" t="s">
        <v>27</v>
      </c>
      <c r="B34" s="8">
        <v>12220</v>
      </c>
      <c r="C34" s="8">
        <v>18356</v>
      </c>
      <c r="D34" s="9">
        <v>0.39965986394557801</v>
      </c>
    </row>
    <row r="35" spans="1:4" x14ac:dyDescent="0.3">
      <c r="A35" s="3" t="s">
        <v>13</v>
      </c>
      <c r="B35" s="8">
        <v>4724</v>
      </c>
      <c r="C35" s="8">
        <v>7408</v>
      </c>
      <c r="D35" s="9">
        <v>0.38938344873063002</v>
      </c>
    </row>
    <row r="36" spans="1:4" x14ac:dyDescent="0.3">
      <c r="A36" s="3" t="s">
        <v>20</v>
      </c>
      <c r="B36" s="8">
        <v>30073</v>
      </c>
      <c r="C36" s="8">
        <v>48932</v>
      </c>
      <c r="D36" s="9">
        <v>0.38064679450667699</v>
      </c>
    </row>
    <row r="37" spans="1:4" x14ac:dyDescent="0.3">
      <c r="A37" s="3" t="s">
        <v>30</v>
      </c>
      <c r="B37" s="8">
        <v>19797</v>
      </c>
      <c r="C37" s="8">
        <v>32996</v>
      </c>
      <c r="D37" s="9">
        <v>0.37499289678555903</v>
      </c>
    </row>
    <row r="38" spans="1:4" x14ac:dyDescent="0.3">
      <c r="A38" s="3" t="s">
        <v>33</v>
      </c>
      <c r="B38" s="8">
        <v>14162</v>
      </c>
      <c r="C38" s="8">
        <v>23877</v>
      </c>
      <c r="D38" s="9">
        <v>0.37230211099135102</v>
      </c>
    </row>
    <row r="39" spans="1:4" x14ac:dyDescent="0.3">
      <c r="A39" s="3" t="s">
        <v>39</v>
      </c>
      <c r="B39" s="8">
        <v>27745</v>
      </c>
      <c r="C39" s="8">
        <v>52268</v>
      </c>
      <c r="D39" s="9">
        <v>0.34675615212527999</v>
      </c>
    </row>
    <row r="40" spans="1:4" x14ac:dyDescent="0.3">
      <c r="A40" s="3" t="s">
        <v>17</v>
      </c>
      <c r="B40" s="8">
        <v>7644</v>
      </c>
      <c r="C40" s="8">
        <v>14501</v>
      </c>
      <c r="D40" s="9">
        <v>0.34517949875818499</v>
      </c>
    </row>
  </sheetData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4503FF-FC3C-40BC-BA7A-6E1B9FBCE2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Bohdan Tavolzhanskyi</dc:creator>
  <cp:lastModifiedBy>Bohdan Tavolzhanskyi</cp:lastModifiedBy>
  <dcterms:created xsi:type="dcterms:W3CDTF">2026-08-16T14:11:51Z</dcterms:created>
  <dcterms:modified xsi:type="dcterms:W3CDTF">2026-08-18T11:28:40Z</dcterms:modified>
</cp:coreProperties>
</file>